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_ISI\VI (25-26_2_MANNHEIM)\courses\digi_projektek\gyak\data\"/>
    </mc:Choice>
  </mc:AlternateContent>
  <xr:revisionPtr revIDLastSave="0" documentId="13_ncr:1_{472442EE-57C0-4ACD-B36E-0DFDEB59ECB2}" xr6:coauthVersionLast="47" xr6:coauthVersionMax="47" xr10:uidLastSave="{00000000-0000-0000-0000-000000000000}"/>
  <bookViews>
    <workbookView xWindow="-108" yWindow="-108" windowWidth="23256" windowHeight="12456" xr2:uid="{657A85B0-7A5B-4034-9B73-0FF802397C13}"/>
  </bookViews>
  <sheets>
    <sheet name="carbon_scan_output_ecomm_2507" sheetId="1" r:id="rId1"/>
  </sheets>
  <definedNames>
    <definedName name="_xlnm._FilterDatabase" localSheetId="0" hidden="1">carbon_scan_output_ecomm_2507!$A$1:$Q$62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1" l="1"/>
  <c r="H62" i="1"/>
  <c r="G62" i="1"/>
  <c r="I61" i="1"/>
  <c r="H61" i="1"/>
  <c r="G61" i="1"/>
  <c r="I60" i="1"/>
  <c r="H60" i="1"/>
  <c r="G60" i="1"/>
  <c r="K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K38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  <c r="G66" i="1" s="1"/>
  <c r="N62" i="1" l="1"/>
  <c r="K62" i="1"/>
  <c r="K61" i="1"/>
  <c r="N61" i="1"/>
  <c r="N60" i="1"/>
  <c r="K60" i="1"/>
  <c r="K58" i="1"/>
  <c r="N58" i="1"/>
  <c r="K57" i="1"/>
  <c r="N57" i="1"/>
  <c r="K56" i="1"/>
  <c r="N56" i="1"/>
  <c r="K55" i="1"/>
  <c r="N55" i="1"/>
  <c r="K54" i="1"/>
  <c r="N54" i="1"/>
  <c r="K53" i="1"/>
  <c r="N53" i="1"/>
  <c r="N52" i="1"/>
  <c r="K52" i="1"/>
  <c r="K51" i="1"/>
  <c r="N51" i="1"/>
  <c r="K50" i="1"/>
  <c r="N50" i="1"/>
  <c r="K49" i="1"/>
  <c r="N49" i="1"/>
  <c r="K48" i="1"/>
  <c r="N48" i="1"/>
  <c r="K47" i="1"/>
  <c r="N47" i="1"/>
  <c r="N46" i="1"/>
  <c r="K46" i="1"/>
  <c r="K45" i="1"/>
  <c r="N45" i="1"/>
  <c r="N44" i="1"/>
  <c r="K44" i="1"/>
  <c r="K43" i="1"/>
  <c r="N43" i="1"/>
  <c r="K42" i="1"/>
  <c r="N42" i="1"/>
  <c r="N41" i="1"/>
  <c r="K41" i="1"/>
  <c r="K40" i="1"/>
  <c r="N40" i="1"/>
  <c r="K39" i="1"/>
  <c r="N39" i="1"/>
  <c r="K37" i="1"/>
  <c r="N37" i="1"/>
  <c r="N36" i="1"/>
  <c r="K36" i="1"/>
  <c r="N35" i="1"/>
  <c r="K35" i="1"/>
  <c r="N34" i="1"/>
  <c r="K34" i="1"/>
  <c r="N33" i="1"/>
  <c r="K33" i="1"/>
  <c r="N32" i="1"/>
  <c r="K32" i="1"/>
  <c r="K31" i="1"/>
  <c r="N31" i="1"/>
  <c r="K30" i="1"/>
  <c r="N30" i="1"/>
  <c r="K29" i="1"/>
  <c r="N29" i="1"/>
  <c r="K28" i="1"/>
  <c r="N28" i="1"/>
  <c r="K27" i="1"/>
  <c r="N27" i="1"/>
  <c r="N26" i="1"/>
  <c r="K26" i="1"/>
  <c r="K25" i="1"/>
  <c r="N25" i="1"/>
  <c r="N24" i="1"/>
  <c r="K24" i="1"/>
  <c r="K23" i="1"/>
  <c r="N23" i="1"/>
  <c r="K22" i="1"/>
  <c r="N22" i="1"/>
  <c r="K21" i="1"/>
  <c r="N21" i="1"/>
  <c r="N20" i="1"/>
  <c r="K20" i="1"/>
  <c r="N19" i="1"/>
  <c r="K19" i="1"/>
  <c r="N18" i="1"/>
  <c r="K18" i="1"/>
  <c r="N17" i="1"/>
  <c r="K17" i="1"/>
  <c r="N16" i="1"/>
  <c r="K16" i="1"/>
  <c r="K15" i="1"/>
  <c r="N15" i="1"/>
  <c r="K14" i="1"/>
  <c r="N14" i="1"/>
  <c r="K13" i="1"/>
  <c r="N13" i="1"/>
  <c r="N12" i="1"/>
  <c r="K12" i="1"/>
  <c r="N11" i="1"/>
  <c r="K11" i="1"/>
  <c r="K10" i="1"/>
  <c r="N10" i="1"/>
  <c r="N9" i="1"/>
  <c r="K9" i="1"/>
  <c r="K8" i="1"/>
  <c r="N8" i="1"/>
  <c r="N7" i="1"/>
  <c r="K7" i="1"/>
  <c r="N6" i="1"/>
  <c r="K6" i="1"/>
  <c r="K5" i="1"/>
  <c r="N5" i="1"/>
  <c r="N4" i="1"/>
  <c r="K4" i="1"/>
  <c r="K3" i="1"/>
  <c r="N3" i="1"/>
  <c r="N38" i="1"/>
  <c r="K2" i="1"/>
  <c r="N2" i="1"/>
  <c r="N59" i="1"/>
  <c r="L61" i="1" l="1"/>
  <c r="L62" i="1"/>
  <c r="L60" i="1"/>
  <c r="O60" i="1"/>
  <c r="O56" i="1"/>
  <c r="L58" i="1"/>
  <c r="L57" i="1"/>
  <c r="L56" i="1"/>
  <c r="L59" i="1"/>
  <c r="L52" i="1"/>
  <c r="O52" i="1"/>
  <c r="L55" i="1"/>
  <c r="L53" i="1"/>
  <c r="L54" i="1"/>
  <c r="L51" i="1"/>
  <c r="L49" i="1"/>
  <c r="O49" i="1"/>
  <c r="L50" i="1"/>
  <c r="L47" i="1"/>
  <c r="L48" i="1"/>
  <c r="L45" i="1"/>
  <c r="O45" i="1"/>
  <c r="L46" i="1"/>
  <c r="L43" i="1"/>
  <c r="L41" i="1"/>
  <c r="O41" i="1"/>
  <c r="L44" i="1"/>
  <c r="L42" i="1"/>
  <c r="L37" i="1"/>
  <c r="O37" i="1"/>
  <c r="L39" i="1"/>
  <c r="L38" i="1"/>
  <c r="L40" i="1"/>
  <c r="O33" i="1"/>
  <c r="L33" i="1"/>
  <c r="L34" i="1"/>
  <c r="L35" i="1"/>
  <c r="L36" i="1"/>
  <c r="L31" i="1"/>
  <c r="L30" i="1"/>
  <c r="L29" i="1"/>
  <c r="O29" i="1"/>
  <c r="L32" i="1"/>
  <c r="L27" i="1"/>
  <c r="L26" i="1"/>
  <c r="L25" i="1"/>
  <c r="O25" i="1"/>
  <c r="L28" i="1"/>
  <c r="O21" i="1"/>
  <c r="L24" i="1"/>
  <c r="L21" i="1"/>
  <c r="L23" i="1"/>
  <c r="L22" i="1"/>
  <c r="L17" i="1"/>
  <c r="O17" i="1"/>
  <c r="L19" i="1"/>
  <c r="L18" i="1"/>
  <c r="L20" i="1"/>
  <c r="L14" i="1"/>
  <c r="L13" i="1"/>
  <c r="O13" i="1"/>
  <c r="L15" i="1"/>
  <c r="L16" i="1"/>
  <c r="L10" i="1"/>
  <c r="O10" i="1"/>
  <c r="L11" i="1"/>
  <c r="L12" i="1"/>
  <c r="L6" i="1"/>
  <c r="O6" i="1"/>
  <c r="L7" i="1"/>
  <c r="L8" i="1"/>
  <c r="L9" i="1"/>
  <c r="O38" i="1"/>
  <c r="O59" i="1"/>
  <c r="L2" i="1"/>
  <c r="O2" i="1"/>
  <c r="L3" i="1"/>
  <c r="L4" i="1"/>
  <c r="L5" i="1"/>
  <c r="O62" i="1"/>
  <c r="O61" i="1"/>
  <c r="O58" i="1"/>
  <c r="O57" i="1"/>
  <c r="O55" i="1"/>
  <c r="O53" i="1"/>
  <c r="O51" i="1"/>
  <c r="O50" i="1"/>
  <c r="O44" i="1"/>
  <c r="O34" i="1"/>
  <c r="O32" i="1"/>
  <c r="O31" i="1"/>
  <c r="O24" i="1"/>
  <c r="O22" i="1"/>
  <c r="O18" i="1"/>
  <c r="O12" i="1"/>
  <c r="O54" i="1"/>
  <c r="O46" i="1"/>
  <c r="O43" i="1"/>
  <c r="O42" i="1"/>
  <c r="O20" i="1"/>
  <c r="O14" i="1"/>
  <c r="O9" i="1"/>
  <c r="O48" i="1"/>
  <c r="O40" i="1"/>
  <c r="O39" i="1"/>
  <c r="O30" i="1"/>
  <c r="O28" i="1"/>
  <c r="O16" i="1"/>
  <c r="O15" i="1"/>
  <c r="O11" i="1"/>
  <c r="O23" i="1"/>
  <c r="O7" i="1"/>
  <c r="O3" i="1"/>
  <c r="O19" i="1"/>
  <c r="O47" i="1"/>
  <c r="O36" i="1"/>
  <c r="O35" i="1"/>
  <c r="O27" i="1"/>
  <c r="O26" i="1"/>
  <c r="O8" i="1"/>
  <c r="O5" i="1"/>
  <c r="O4" i="1"/>
  <c r="M61" i="1" l="1"/>
  <c r="Q61" i="1"/>
  <c r="Q62" i="1"/>
  <c r="M62" i="1"/>
  <c r="M60" i="1"/>
  <c r="Q60" i="1"/>
  <c r="M58" i="1"/>
  <c r="Q58" i="1"/>
  <c r="M57" i="1"/>
  <c r="Q57" i="1"/>
  <c r="M56" i="1"/>
  <c r="Q56" i="1"/>
  <c r="M59" i="1"/>
  <c r="Q59" i="1"/>
  <c r="Q52" i="1"/>
  <c r="M52" i="1"/>
  <c r="M55" i="1"/>
  <c r="Q55" i="1"/>
  <c r="M53" i="1"/>
  <c r="Q53" i="1"/>
  <c r="M54" i="1"/>
  <c r="Q54" i="1"/>
  <c r="M51" i="1"/>
  <c r="Q51" i="1"/>
  <c r="M49" i="1"/>
  <c r="Q49" i="1"/>
  <c r="M50" i="1"/>
  <c r="Q50" i="1"/>
  <c r="M47" i="1"/>
  <c r="Q47" i="1"/>
  <c r="M48" i="1"/>
  <c r="Q48" i="1"/>
  <c r="M45" i="1"/>
  <c r="Q45" i="1"/>
  <c r="Q46" i="1"/>
  <c r="M46" i="1"/>
  <c r="Q43" i="1"/>
  <c r="M43" i="1"/>
  <c r="M41" i="1"/>
  <c r="Q41" i="1"/>
  <c r="M44" i="1"/>
  <c r="Q44" i="1"/>
  <c r="M42" i="1"/>
  <c r="Q42" i="1"/>
  <c r="M37" i="1"/>
  <c r="Q37" i="1"/>
  <c r="M39" i="1"/>
  <c r="Q39" i="1"/>
  <c r="M38" i="1"/>
  <c r="Q38" i="1"/>
  <c r="Q40" i="1"/>
  <c r="M40" i="1"/>
  <c r="M33" i="1"/>
  <c r="Q33" i="1"/>
  <c r="M34" i="1"/>
  <c r="Q34" i="1"/>
  <c r="M35" i="1"/>
  <c r="Q35" i="1"/>
  <c r="M36" i="1"/>
  <c r="Q36" i="1"/>
  <c r="Q31" i="1"/>
  <c r="M31" i="1"/>
  <c r="M30" i="1"/>
  <c r="Q30" i="1"/>
  <c r="M29" i="1"/>
  <c r="Q29" i="1"/>
  <c r="M32" i="1"/>
  <c r="Q32" i="1"/>
  <c r="M27" i="1"/>
  <c r="Q27" i="1"/>
  <c r="M26" i="1"/>
  <c r="Q26" i="1"/>
  <c r="M25" i="1"/>
  <c r="Q25" i="1"/>
  <c r="M28" i="1"/>
  <c r="Q28" i="1"/>
  <c r="M24" i="1"/>
  <c r="Q24" i="1"/>
  <c r="M21" i="1"/>
  <c r="Q21" i="1"/>
  <c r="Q23" i="1"/>
  <c r="M23" i="1"/>
  <c r="M22" i="1"/>
  <c r="Q22" i="1"/>
  <c r="Q17" i="1"/>
  <c r="M17" i="1"/>
  <c r="M19" i="1"/>
  <c r="Q19" i="1"/>
  <c r="M18" i="1"/>
  <c r="Q18" i="1"/>
  <c r="M20" i="1"/>
  <c r="Q20" i="1"/>
  <c r="M14" i="1"/>
  <c r="Q14" i="1"/>
  <c r="M13" i="1"/>
  <c r="Q13" i="1"/>
  <c r="M15" i="1"/>
  <c r="Q15" i="1"/>
  <c r="M16" i="1"/>
  <c r="Q16" i="1"/>
  <c r="M10" i="1"/>
  <c r="Q10" i="1"/>
  <c r="M11" i="1"/>
  <c r="Q11" i="1"/>
  <c r="M12" i="1"/>
  <c r="Q12" i="1"/>
  <c r="M6" i="1"/>
  <c r="Q6" i="1"/>
  <c r="M7" i="1"/>
  <c r="Q7" i="1"/>
  <c r="M8" i="1"/>
  <c r="Q8" i="1"/>
  <c r="M9" i="1"/>
  <c r="Q9" i="1"/>
  <c r="M2" i="1"/>
  <c r="Q2" i="1"/>
  <c r="M3" i="1"/>
  <c r="Q3" i="1"/>
  <c r="M4" i="1"/>
  <c r="Q4" i="1"/>
  <c r="M5" i="1"/>
  <c r="P5" i="1" s="1"/>
  <c r="Q5" i="1"/>
  <c r="P4" i="1" l="1"/>
  <c r="P11" i="1"/>
  <c r="P8" i="1"/>
  <c r="P38" i="1"/>
  <c r="P40" i="1"/>
  <c r="P33" i="1"/>
  <c r="P34" i="1"/>
  <c r="P35" i="1"/>
  <c r="P36" i="1"/>
  <c r="P31" i="1"/>
  <c r="P30" i="1"/>
  <c r="P29" i="1"/>
  <c r="P32" i="1"/>
  <c r="P27" i="1"/>
  <c r="P26" i="1"/>
  <c r="P25" i="1"/>
  <c r="P28" i="1"/>
  <c r="P24" i="1"/>
  <c r="P21" i="1"/>
  <c r="P23" i="1"/>
  <c r="P22" i="1"/>
  <c r="P17" i="1"/>
  <c r="P19" i="1"/>
  <c r="P18" i="1"/>
  <c r="P20" i="1"/>
  <c r="P14" i="1"/>
  <c r="P6" i="1"/>
  <c r="P12" i="1"/>
  <c r="P9" i="1"/>
  <c r="P3" i="1"/>
  <c r="P61" i="1"/>
  <c r="P62" i="1"/>
  <c r="P60" i="1"/>
  <c r="P58" i="1"/>
  <c r="P57" i="1"/>
  <c r="P56" i="1"/>
  <c r="P59" i="1"/>
  <c r="P52" i="1"/>
  <c r="P55" i="1"/>
  <c r="P53" i="1"/>
  <c r="P54" i="1"/>
  <c r="P51" i="1"/>
  <c r="P49" i="1"/>
  <c r="P50" i="1"/>
  <c r="P47" i="1"/>
  <c r="P48" i="1"/>
  <c r="P45" i="1"/>
  <c r="P46" i="1"/>
  <c r="P43" i="1"/>
  <c r="P41" i="1"/>
  <c r="P44" i="1"/>
  <c r="P42" i="1"/>
  <c r="P39" i="1"/>
  <c r="P13" i="1"/>
  <c r="P15" i="1"/>
  <c r="P16" i="1"/>
  <c r="P10" i="1"/>
  <c r="P7" i="1"/>
  <c r="P2" i="1"/>
  <c r="P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Herdics Akos</author>
  </authors>
  <commentList>
    <comment ref="E37" authorId="0" shapeId="0" xr:uid="{168A60A5-A2FD-44DC-8FB9-871391B65841}">
      <text>
        <r>
          <rPr>
            <b/>
            <sz val="9"/>
            <color indexed="81"/>
            <rFont val="Tahoma"/>
            <family val="2"/>
            <charset val="238"/>
          </rPr>
          <t>Herdics Akos:</t>
        </r>
        <r>
          <rPr>
            <sz val="9"/>
            <color indexed="81"/>
            <rFont val="Tahoma"/>
            <family val="2"/>
            <charset val="238"/>
          </rPr>
          <t xml:space="preserve">
Rossz oldalra irányít át (…/update), az eredetiek kézimérővel mérhetők
</t>
        </r>
      </text>
    </comment>
    <comment ref="E38" authorId="0" shapeId="0" xr:uid="{7E9BF4C9-272B-48EC-8AEF-6CBB99EA5D55}">
      <text>
        <r>
          <rPr>
            <b/>
            <sz val="9"/>
            <color indexed="81"/>
            <rFont val="Tahoma"/>
            <family val="2"/>
            <charset val="238"/>
          </rPr>
          <t>Herdics Akos:</t>
        </r>
        <r>
          <rPr>
            <sz val="9"/>
            <color indexed="81"/>
            <rFont val="Tahoma"/>
            <family val="2"/>
            <charset val="238"/>
          </rPr>
          <t xml:space="preserve">
Rossz oldalra irányít át (…/update), az eredetiek kézimérővel mérhetők</t>
        </r>
      </text>
    </comment>
    <comment ref="E39" authorId="0" shapeId="0" xr:uid="{C5771CD7-D565-427C-917B-90777AC7F5CD}">
      <text>
        <r>
          <rPr>
            <b/>
            <sz val="9"/>
            <color indexed="81"/>
            <rFont val="Tahoma"/>
            <family val="2"/>
            <charset val="238"/>
          </rPr>
          <t>Herdics Akos:</t>
        </r>
        <r>
          <rPr>
            <sz val="9"/>
            <color indexed="81"/>
            <rFont val="Tahoma"/>
            <family val="2"/>
            <charset val="238"/>
          </rPr>
          <t xml:space="preserve">
Rossz oldalra irányít át (…/update), az eredetiek kézimérővel mérhetők</t>
        </r>
      </text>
    </comment>
    <comment ref="E40" authorId="0" shapeId="0" xr:uid="{048ED5AE-6FC1-46E2-B85D-F35ADFF2FAA2}">
      <text>
        <r>
          <rPr>
            <b/>
            <sz val="9"/>
            <color indexed="81"/>
            <rFont val="Tahoma"/>
            <family val="2"/>
            <charset val="238"/>
          </rPr>
          <t>Herdics Akos:</t>
        </r>
        <r>
          <rPr>
            <sz val="9"/>
            <color indexed="81"/>
            <rFont val="Tahoma"/>
            <family val="2"/>
            <charset val="238"/>
          </rPr>
          <t xml:space="preserve">
Rossz oldalra irányít át (…/update), az eredetiek kézimérővel mérhetők</t>
        </r>
      </text>
    </comment>
    <comment ref="E45" authorId="0" shapeId="0" xr:uid="{21BE9DDE-98AB-41A9-B6FE-0696CA502382}">
      <text>
        <r>
          <rPr>
            <b/>
            <sz val="9"/>
            <color indexed="81"/>
            <rFont val="Tahoma"/>
            <family val="2"/>
            <charset val="238"/>
          </rPr>
          <t>Herdics Akos:</t>
        </r>
        <r>
          <rPr>
            <sz val="9"/>
            <color indexed="81"/>
            <rFont val="Tahoma"/>
            <family val="2"/>
            <charset val="238"/>
          </rPr>
          <t xml:space="preserve">
Hihetetlen volt az eredeti eredmény a 02-04 page-eken, ezért újramértem az egészet
</t>
        </r>
      </text>
    </comment>
    <comment ref="E60" authorId="0" shapeId="0" xr:uid="{D1F62827-B4CC-4494-ACBD-765BCB8E5B95}">
      <text>
        <r>
          <rPr>
            <b/>
            <sz val="9"/>
            <color indexed="81"/>
            <rFont val="Tahoma"/>
            <family val="2"/>
            <charset val="238"/>
          </rPr>
          <t>Herdics Akos:</t>
        </r>
        <r>
          <rPr>
            <sz val="9"/>
            <color indexed="81"/>
            <rFont val="Tahoma"/>
            <family val="2"/>
            <charset val="238"/>
          </rPr>
          <t xml:space="preserve">
BE-vel lehetett csak megmérni</t>
        </r>
      </text>
    </comment>
  </commentList>
</comments>
</file>

<file path=xl/sharedStrings.xml><?xml version="1.0" encoding="utf-8"?>
<sst xmlns="http://schemas.openxmlformats.org/spreadsheetml/2006/main" count="322" uniqueCount="107">
  <si>
    <t>industry</t>
  </si>
  <si>
    <t>website</t>
  </si>
  <si>
    <t>pageType</t>
  </si>
  <si>
    <t>have all subpages</t>
  </si>
  <si>
    <t>url</t>
  </si>
  <si>
    <t>BE - Carbon Emission - page</t>
  </si>
  <si>
    <t>BE_2_Manual</t>
  </si>
  <si>
    <t xml:space="preserve">BE - Carbon Emission - all subpages </t>
  </si>
  <si>
    <t>BE - Reduction % - page</t>
  </si>
  <si>
    <t>Reduction % - image</t>
  </si>
  <si>
    <t>BE - Reduced Carbon Emission</t>
  </si>
  <si>
    <t>BE - Reduced Carbon Emission - all subpages</t>
  </si>
  <si>
    <t>BE - Reduction % - all subpages</t>
  </si>
  <si>
    <t>Rank Reduction % - page</t>
  </si>
  <si>
    <t>Rank Reduced Carbon Emission</t>
  </si>
  <si>
    <t>Rank Reduction % - all subpages</t>
  </si>
  <si>
    <t>Rank Reduced Carbon Emission -  all subpages</t>
  </si>
  <si>
    <t>mall</t>
  </si>
  <si>
    <t xml:space="preserve">Alza </t>
  </si>
  <si>
    <t>01-main page</t>
  </si>
  <si>
    <t>t</t>
  </si>
  <si>
    <t>https://www.alza.hu/</t>
  </si>
  <si>
    <t>02 - product list</t>
  </si>
  <si>
    <t>https://www.alza.hu/ventilatorok-es-hutes/siguro/18850974-v20304.htm</t>
  </si>
  <si>
    <t>03 - product page</t>
  </si>
  <si>
    <t>https://www.alza.hu/siguro-fc-d100w-aura-tower-wifi-d12904128.htm</t>
  </si>
  <si>
    <t>04 - cart page</t>
  </si>
  <si>
    <t>https://www.alza.hu/Order1.htm</t>
  </si>
  <si>
    <t>electronics</t>
  </si>
  <si>
    <t>Aqua</t>
  </si>
  <si>
    <t>https://aqua.hu/</t>
  </si>
  <si>
    <t>https://aqua.hu/ajanlat/tura</t>
  </si>
  <si>
    <t>https://aqua.hu/kesek/svajci-bicska-multifunkcios-zsebkes-victorinox-cyber-tool-34-t955477</t>
  </si>
  <si>
    <t>https://aqua.hu/kosar.html</t>
  </si>
  <si>
    <t>FMCG</t>
  </si>
  <si>
    <t>Auchan</t>
  </si>
  <si>
    <t>f</t>
  </si>
  <si>
    <t>https://auchan.hu/</t>
  </si>
  <si>
    <t>https://auchan.hu/american-tourister</t>
  </si>
  <si>
    <t>https://auchan.hu/shop/american-tourister-liftoff-borond-5520-almazold.p-939901</t>
  </si>
  <si>
    <t>BestBite</t>
  </si>
  <si>
    <t>https://www.bestbyte.hu/</t>
  </si>
  <si>
    <t>https://www.bestbyte.hu/ajanlat/7930/strandszezon-ajanlat.html</t>
  </si>
  <si>
    <t>https://www.bestbyte.hu/hutotaska/too-ecw-124-bl-24-literes-elektromos-hutolada-p327004.html</t>
  </si>
  <si>
    <t>https://www.bestbyte.hu/rendeles/tartalom</t>
  </si>
  <si>
    <t>book</t>
  </si>
  <si>
    <t>Bookline</t>
  </si>
  <si>
    <t>https://bookline.hu/</t>
  </si>
  <si>
    <t>https://bookline.hu/sortlist/sortlist.action?id=29580&amp;page=1</t>
  </si>
  <si>
    <t>https://bookline.hu/product/home.action?_v=Hana_Tooke_Ejfeli_kalandok&amp;type=22&amp;id=345429</t>
  </si>
  <si>
    <t>https://bookline.hu/order/cart!view.action</t>
  </si>
  <si>
    <t>sport</t>
  </si>
  <si>
    <t>Decathlon</t>
  </si>
  <si>
    <t>https://www.decathlon.hu/</t>
  </si>
  <si>
    <t>https://www.decathlon.hu/deals?opeco=opeco:HP_3Slots_Slider_mainslot_0622-learazott-termekek_&amp;type=opeco</t>
  </si>
  <si>
    <t>https://www.decathlon.hu/p/sup-szett-felfujhato-10-6-egy-vagy-ket-szemelynek-130-kg-ig-100-as/_/R-p-356321?mc=8901115</t>
  </si>
  <si>
    <t>https://www.decathlon.hu/checkout/cart</t>
  </si>
  <si>
    <t>Euronics</t>
  </si>
  <si>
    <t>https://euronics.hu/</t>
  </si>
  <si>
    <t>https://euronics.hu/gourmet-hetek</t>
  </si>
  <si>
    <t>https://euronics.hu/airfryer-es-olajsuto/nutribullet-nba071b-xxl-airfryer-p288816</t>
  </si>
  <si>
    <t>https://euronics.hu/kosar/</t>
  </si>
  <si>
    <t>home</t>
  </si>
  <si>
    <t>Ikea</t>
  </si>
  <si>
    <t>https://www.ikea.com/hu/hu/</t>
  </si>
  <si>
    <t>https://www.ikea.com/hu/hu/cat/pax-rendszer-19086/</t>
  </si>
  <si>
    <t>https://www.ikea.com/hu/hu/p/pax-grimo-gardrob-komb-feher-feher-s69429730/</t>
  </si>
  <si>
    <t>https://www.ikea.com/hu/hu/shoppingcart/</t>
  </si>
  <si>
    <t>iPon</t>
  </si>
  <si>
    <t>https://ipon.hu/</t>
  </si>
  <si>
    <t>https://ipon.hu/promo/buydeem?ref=banner</t>
  </si>
  <si>
    <t>https://ipon.hu/shop/termek/buydeem-k640-cgeu-elektromos-vizforralo-2000-2400w-17l-zold/2345437</t>
  </si>
  <si>
    <t>https://ipon.hu/shop/kosar</t>
  </si>
  <si>
    <t>Kifli</t>
  </si>
  <si>
    <t>https://www.kifli.hu/</t>
  </si>
  <si>
    <t>https://www.kifli.hu/targy/ujdonsagok?_ref=hp</t>
  </si>
  <si>
    <t>https://www.kifli.hu/110551-soproni-szuretlen-lager?themeId=ujdonsagok&amp;_ref=hp&amp;source=%7B%22touchpoint%22%3A%22Microsite%22%2C%22id%22%3A%22ujdonsagok%22%2C%22favorite%22%3Afalse%7D</t>
  </si>
  <si>
    <t>https://www.kifli.hu/rendeles/kosaram-tartalma</t>
  </si>
  <si>
    <t>Libri</t>
  </si>
  <si>
    <t>https://www.libri.hu/</t>
  </si>
  <si>
    <t>https://www.libri.hu/napfenyes-konyvvalogatas</t>
  </si>
  <si>
    <t>https://www.libri.hu/konyv/emily_henry.a-boldogsag-otthona.html</t>
  </si>
  <si>
    <t>https://www.libri.hu/megrendeles/kosar/</t>
  </si>
  <si>
    <t>Media Markt</t>
  </si>
  <si>
    <t>https://www.mediamarkt.hu/</t>
  </si>
  <si>
    <t>https://www.mediamarkt.hu/hu/list/ksz_h4zn4gy_l136h3rr_xx1xx03vg4r4nc14_250601</t>
  </si>
  <si>
    <t>https://www.mediamarkt.hu/hu/product/_liebherr-gkwe-1455-felülfagyasztós-hűtőszekrény-1445953.html</t>
  </si>
  <si>
    <t>https://www.mediamarkt.hu/hu/checkout</t>
  </si>
  <si>
    <t>Pepita</t>
  </si>
  <si>
    <t>https://pepita.hu/</t>
  </si>
  <si>
    <t>https://pepita.hu/pepita-bumm-cp22</t>
  </si>
  <si>
    <t>https://pepita.hu/hintaagyak-c3570/springos-kerti-hintaagy-linda-valodi-4-szemelyes-240x120-cm-280kg-teherbiras-szurke-p2499518</t>
  </si>
  <si>
    <t>drogerie</t>
  </si>
  <si>
    <t>Rossmann</t>
  </si>
  <si>
    <t>https://shop.rossmann.hu/glamour</t>
  </si>
  <si>
    <t>https://shop.rossmann.hu/kategoria/arcapolas/markak/koreai-markak</t>
  </si>
  <si>
    <t>https://shop.rossmann.hu/termek/frudia-my-orchard-peach-fatyolmaszk-1-db</t>
  </si>
  <si>
    <t>https://shop.rossmann.hu/kosar</t>
  </si>
  <si>
    <t>Telekom</t>
  </si>
  <si>
    <t>https://www.telekom.hu/lakossagi</t>
  </si>
  <si>
    <t>https://www.telekom.hu/webshop/keszulekek/mobiltelefonok</t>
  </si>
  <si>
    <t>https://www.telekom.hu/webshop/termek/Apple-iPhone-16-Pro?skuId=jsku1754657153</t>
  </si>
  <si>
    <t>https://www.telekom.hu/webshop/osszesites</t>
  </si>
  <si>
    <t>Tesco</t>
  </si>
  <si>
    <t>https://bevasarlas.tesco.hu/groceries/hu-HU/</t>
  </si>
  <si>
    <t>https://bevasarlas.tesco.hu/groceries/hu-HU/zone/bbq</t>
  </si>
  <si>
    <t>https://bevasarlas.tesco.hu/groceries/hu-HU/products/2004010843549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</si>
</sst>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3" borderId="1" xfId="0" applyFill="1" applyBorder="1"/>
    <xf numFmtId="0" fontId="0" fillId="3" borderId="2" xfId="0" applyFill="1" applyBorder="1"/>
    <xf numFmtId="2" fontId="0" fillId="2" borderId="0" xfId="0" applyNumberFormat="1" applyFill="1"/>
    <xf numFmtId="9" fontId="0" fillId="2" borderId="0" xfId="0" applyNumberFormat="1" applyFill="1"/>
    <xf numFmtId="9" fontId="0" fillId="3" borderId="2" xfId="1" applyFont="1" applyFill="1" applyBorder="1"/>
    <xf numFmtId="0" fontId="0" fillId="2" borderId="0" xfId="0" applyFill="1"/>
    <xf numFmtId="0" fontId="0" fillId="0" borderId="1" xfId="0" applyBorder="1"/>
    <xf numFmtId="0" fontId="0" fillId="0" borderId="2" xfId="0" applyBorder="1"/>
    <xf numFmtId="9" fontId="0" fillId="0" borderId="2" xfId="1" applyFont="1" applyBorder="1"/>
    <xf numFmtId="0" fontId="2" fillId="0" borderId="2" xfId="2" applyBorder="1"/>
    <xf numFmtId="0" fontId="2" fillId="3" borderId="2" xfId="2" applyFill="1" applyBorder="1"/>
    <xf numFmtId="0" fontId="2" fillId="3" borderId="2" xfId="2" applyNumberFormat="1" applyFill="1" applyBorder="1"/>
    <xf numFmtId="0" fontId="2" fillId="0" borderId="2" xfId="2" applyNumberFormat="1" applyBorder="1"/>
    <xf numFmtId="164" fontId="0" fillId="2" borderId="0" xfId="0" applyNumberFormat="1" applyFill="1"/>
    <xf numFmtId="2" fontId="0" fillId="0" borderId="0" xfId="0" applyNumberFormat="1"/>
    <xf numFmtId="9" fontId="0" fillId="0" borderId="0" xfId="1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iamarkt.hu/hu/list/ksz_h4zn4gy_l136h3rr_xx1xx03vg4r4nc14_250601" TargetMode="External"/><Relationship Id="rId13" Type="http://schemas.openxmlformats.org/officeDocument/2006/relationships/hyperlink" Target="https://bevasarlas.tesco.hu/groceries/hu-HU/zone/bbq" TargetMode="External"/><Relationship Id="rId3" Type="http://schemas.openxmlformats.org/officeDocument/2006/relationships/hyperlink" Target="https://www.kifli.hu/110551-soproni-szuretlen-lager?themeId=ujdonsagok&amp;_ref=hp&amp;source=%7B%22touchpoint%22%3A%22Microsite%22%2C%22id%22%3A%22ujdonsagok%22%2C%22favorite%22%3Afalse%7D" TargetMode="External"/><Relationship Id="rId7" Type="http://schemas.openxmlformats.org/officeDocument/2006/relationships/hyperlink" Target="https://www.mediamarkt.hu/" TargetMode="External"/><Relationship Id="rId12" Type="http://schemas.openxmlformats.org/officeDocument/2006/relationships/hyperlink" Target="https://bevasarlas.tesco.hu/groceries/hu-HU/" TargetMode="External"/><Relationship Id="rId2" Type="http://schemas.openxmlformats.org/officeDocument/2006/relationships/hyperlink" Target="https://www.kifli.hu/targy/ujdonsagok?_ref=hp" TargetMode="External"/><Relationship Id="rId16" Type="http://schemas.openxmlformats.org/officeDocument/2006/relationships/comments" Target="../comments1.xml"/><Relationship Id="rId1" Type="http://schemas.openxmlformats.org/officeDocument/2006/relationships/hyperlink" Target="https://www.kifli.hu/" TargetMode="External"/><Relationship Id="rId6" Type="http://schemas.openxmlformats.org/officeDocument/2006/relationships/hyperlink" Target="https://euronics.hu/gourmet-hetek" TargetMode="External"/><Relationship Id="rId11" Type="http://schemas.openxmlformats.org/officeDocument/2006/relationships/hyperlink" Target="https://www.telekom.hu/webshop/keszulekek/mobiltelefonok" TargetMode="External"/><Relationship Id="rId5" Type="http://schemas.openxmlformats.org/officeDocument/2006/relationships/hyperlink" Target="https://euronics.hu/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www.mediamarkt.hu/hu/checkout" TargetMode="External"/><Relationship Id="rId4" Type="http://schemas.openxmlformats.org/officeDocument/2006/relationships/hyperlink" Target="https://www.kifli.hu/rendeles/kosaram-tartalma" TargetMode="External"/><Relationship Id="rId9" Type="http://schemas.openxmlformats.org/officeDocument/2006/relationships/hyperlink" Target="https://www.mediamarkt.hu/hu/product/_liebherr-gkwe-1455-fel&#252;lfagyaszt&#243;s-h&#369;t&#337;szekr&#233;ny-1445953.html" TargetMode="External"/><Relationship Id="rId14" Type="http://schemas.openxmlformats.org/officeDocument/2006/relationships/hyperlink" Target="https://bevasarlas.tesco.hu/groceries/hu-HU/products/2004010843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64D7-0AE8-445F-9A8F-2A08904A7247}">
  <dimension ref="A1:Q71"/>
  <sheetViews>
    <sheetView tabSelected="1" zoomScale="80" zoomScaleNormal="80" workbookViewId="0">
      <pane ySplit="1" topLeftCell="A2" activePane="bottomLeft" state="frozen"/>
      <selection activeCell="F1" sqref="F1"/>
      <selection pane="bottomLeft" activeCell="B65" sqref="B65:E80"/>
    </sheetView>
  </sheetViews>
  <sheetFormatPr defaultColWidth="9.109375" defaultRowHeight="14.4" x14ac:dyDescent="0.3"/>
  <cols>
    <col min="1" max="1" width="15.109375" bestFit="1" customWidth="1"/>
    <col min="2" max="2" width="11.5546875" bestFit="1" customWidth="1"/>
    <col min="3" max="3" width="15.6640625" bestFit="1" customWidth="1"/>
    <col min="4" max="4" width="16.5546875" bestFit="1" customWidth="1"/>
    <col min="5" max="5" width="98.33203125" customWidth="1"/>
    <col min="6" max="6" width="30.6640625" style="8" customWidth="1"/>
    <col min="7" max="7" width="30.6640625" style="8" hidden="1" customWidth="1"/>
    <col min="8" max="8" width="35.88671875" style="8" bestFit="1" customWidth="1"/>
    <col min="9" max="9" width="24.44140625" style="8" bestFit="1" customWidth="1"/>
    <col min="10" max="10" width="21.6640625" bestFit="1" customWidth="1"/>
    <col min="11" max="11" width="29.5546875" style="8" customWidth="1"/>
    <col min="12" max="12" width="38.6640625" style="8" customWidth="1"/>
    <col min="13" max="13" width="31.44140625" style="8" bestFit="1" customWidth="1"/>
    <col min="14" max="14" width="25.33203125" customWidth="1"/>
    <col min="15" max="15" width="33.6640625" customWidth="1"/>
    <col min="16" max="16" width="29.44140625" bestFit="1" customWidth="1"/>
    <col min="17" max="17" width="42.109375" bestFit="1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5">
        <v>0.48</v>
      </c>
      <c r="G2" s="5" t="e">
        <f>F2/#REF!</f>
        <v>#REF!</v>
      </c>
      <c r="H2" s="5">
        <f t="shared" ref="H2:H62" si="0">SUMIF(B:B,B2,F:F)</f>
        <v>2.06</v>
      </c>
      <c r="I2" s="6">
        <f>5.1/100</f>
        <v>5.0999999999999997E-2</v>
      </c>
      <c r="J2" s="7">
        <v>0.367069486404834</v>
      </c>
      <c r="K2" s="8">
        <f t="shared" ref="K2:K62" si="1">F2*I2</f>
        <v>2.4479999999999998E-2</v>
      </c>
      <c r="L2" s="8">
        <f t="shared" ref="L2:L62" si="2">SUMIF(B:B,B2,K:K)</f>
        <v>9.111000000000001E-2</v>
      </c>
      <c r="M2" s="8">
        <f t="shared" ref="M2:M62" si="3">L2/H2</f>
        <v>4.4228155339805827E-2</v>
      </c>
      <c r="N2" s="4">
        <f>_xlfn.RANK.EQ(I2,$I$2:$I$62,1)</f>
        <v>30</v>
      </c>
      <c r="O2" s="4">
        <f>_xlfn.RANK.EQ(K2,$K$2:$K$62,0)</f>
        <v>30</v>
      </c>
      <c r="P2" s="4">
        <f>_xlfn.RANK.EQ(M2,$M$2:$M$62,0)</f>
        <v>47</v>
      </c>
      <c r="Q2" s="4">
        <f>_xlfn.RANK.EQ(L2,$L$2:$L$62,0)</f>
        <v>43</v>
      </c>
    </row>
    <row r="3" spans="1:17" x14ac:dyDescent="0.3">
      <c r="A3" s="9" t="s">
        <v>17</v>
      </c>
      <c r="B3" s="10" t="s">
        <v>18</v>
      </c>
      <c r="C3" s="10" t="s">
        <v>22</v>
      </c>
      <c r="D3" s="10" t="s">
        <v>20</v>
      </c>
      <c r="E3" s="10" t="s">
        <v>23</v>
      </c>
      <c r="F3" s="5">
        <v>0.49</v>
      </c>
      <c r="G3" s="5" t="e">
        <f>F3/#REF!</f>
        <v>#REF!</v>
      </c>
      <c r="H3" s="5">
        <f t="shared" si="0"/>
        <v>2.06</v>
      </c>
      <c r="I3" s="6">
        <f>6.5/100</f>
        <v>6.5000000000000002E-2</v>
      </c>
      <c r="J3" s="11">
        <v>0.389097744360902</v>
      </c>
      <c r="K3" s="8">
        <f t="shared" si="1"/>
        <v>3.1850000000000003E-2</v>
      </c>
      <c r="L3" s="8">
        <f t="shared" si="2"/>
        <v>9.111000000000001E-2</v>
      </c>
      <c r="M3" s="8">
        <f t="shared" si="3"/>
        <v>4.4228155339805827E-2</v>
      </c>
      <c r="N3" s="4">
        <f>_xlfn.RANK.EQ(I3,$I$2:$I$62,0)</f>
        <v>28</v>
      </c>
      <c r="O3" s="4">
        <f t="shared" ref="O3:O62" si="4">_xlfn.RANK.EQ(K3,$K$2:$K$62,0)</f>
        <v>27</v>
      </c>
      <c r="P3" s="4">
        <f t="shared" ref="P3:P62" si="5">_xlfn.RANK.EQ(M3,$M$2:$M$62,0)</f>
        <v>47</v>
      </c>
      <c r="Q3" s="4">
        <f t="shared" ref="Q3:Q62" si="6">_xlfn.RANK.EQ(L3,$L$2:$L$62,0)</f>
        <v>43</v>
      </c>
    </row>
    <row r="4" spans="1:17" x14ac:dyDescent="0.3">
      <c r="A4" s="3" t="s">
        <v>17</v>
      </c>
      <c r="B4" s="4" t="s">
        <v>18</v>
      </c>
      <c r="C4" s="4" t="s">
        <v>24</v>
      </c>
      <c r="D4" s="4" t="s">
        <v>20</v>
      </c>
      <c r="E4" s="4" t="s">
        <v>25</v>
      </c>
      <c r="F4" s="5">
        <v>0.67</v>
      </c>
      <c r="G4" s="5" t="e">
        <f>F4/#REF!</f>
        <v>#REF!</v>
      </c>
      <c r="H4" s="5">
        <f t="shared" si="0"/>
        <v>2.06</v>
      </c>
      <c r="I4" s="6">
        <f>4/100</f>
        <v>0.04</v>
      </c>
      <c r="J4" s="7">
        <v>0.31895424836601299</v>
      </c>
      <c r="K4" s="8">
        <f t="shared" si="1"/>
        <v>2.6800000000000001E-2</v>
      </c>
      <c r="L4" s="8">
        <f t="shared" si="2"/>
        <v>9.111000000000001E-2</v>
      </c>
      <c r="M4" s="8">
        <f t="shared" si="3"/>
        <v>4.4228155339805827E-2</v>
      </c>
      <c r="N4" s="4">
        <f t="shared" ref="N4:N62" si="7">_xlfn.RANK.EQ(I4,$I$2:$I$62,0)</f>
        <v>35</v>
      </c>
      <c r="O4" s="4">
        <f t="shared" si="4"/>
        <v>29</v>
      </c>
      <c r="P4" s="4">
        <f t="shared" si="5"/>
        <v>47</v>
      </c>
      <c r="Q4" s="4">
        <f t="shared" si="6"/>
        <v>43</v>
      </c>
    </row>
    <row r="5" spans="1:17" x14ac:dyDescent="0.3">
      <c r="A5" s="9" t="s">
        <v>17</v>
      </c>
      <c r="B5" s="10" t="s">
        <v>18</v>
      </c>
      <c r="C5" s="10" t="s">
        <v>26</v>
      </c>
      <c r="D5" s="10" t="s">
        <v>20</v>
      </c>
      <c r="E5" s="10" t="s">
        <v>27</v>
      </c>
      <c r="F5" s="5">
        <v>0.42</v>
      </c>
      <c r="G5" s="5" t="e">
        <f>F5/#REF!</f>
        <v>#REF!</v>
      </c>
      <c r="H5" s="5">
        <f t="shared" si="0"/>
        <v>2.06</v>
      </c>
      <c r="I5" s="6">
        <f>1.9/100</f>
        <v>1.9E-2</v>
      </c>
      <c r="J5" s="11">
        <v>0.43215031315240099</v>
      </c>
      <c r="K5" s="8">
        <f t="shared" si="1"/>
        <v>7.9799999999999992E-3</v>
      </c>
      <c r="L5" s="8">
        <f t="shared" si="2"/>
        <v>9.111000000000001E-2</v>
      </c>
      <c r="M5" s="8">
        <f t="shared" si="3"/>
        <v>4.4228155339805827E-2</v>
      </c>
      <c r="N5" s="4">
        <f t="shared" si="7"/>
        <v>41</v>
      </c>
      <c r="O5" s="4">
        <f t="shared" si="4"/>
        <v>41</v>
      </c>
      <c r="P5" s="4">
        <f t="shared" si="5"/>
        <v>47</v>
      </c>
      <c r="Q5" s="4">
        <f t="shared" si="6"/>
        <v>43</v>
      </c>
    </row>
    <row r="6" spans="1:17" x14ac:dyDescent="0.3">
      <c r="A6" s="3" t="s">
        <v>28</v>
      </c>
      <c r="B6" s="4" t="s">
        <v>29</v>
      </c>
      <c r="C6" s="4" t="s">
        <v>19</v>
      </c>
      <c r="D6" s="4" t="s">
        <v>20</v>
      </c>
      <c r="E6" s="4" t="s">
        <v>30</v>
      </c>
      <c r="F6" s="5">
        <v>1.0900000000000001</v>
      </c>
      <c r="G6" s="5" t="e">
        <f>F6/#REF!</f>
        <v>#REF!</v>
      </c>
      <c r="H6" s="5">
        <f t="shared" si="0"/>
        <v>2.83</v>
      </c>
      <c r="I6" s="6">
        <f>60.6/100</f>
        <v>0.60599999999999998</v>
      </c>
      <c r="J6" s="7">
        <v>0.44258376575874903</v>
      </c>
      <c r="K6" s="8">
        <f t="shared" si="1"/>
        <v>0.66054000000000002</v>
      </c>
      <c r="L6" s="8">
        <f t="shared" si="2"/>
        <v>1.4552800000000001</v>
      </c>
      <c r="M6" s="8">
        <f t="shared" si="3"/>
        <v>0.51423321554770318</v>
      </c>
      <c r="N6" s="4">
        <f t="shared" si="7"/>
        <v>1</v>
      </c>
      <c r="O6" s="4">
        <f t="shared" si="4"/>
        <v>1</v>
      </c>
      <c r="P6" s="4">
        <f t="shared" si="5"/>
        <v>1</v>
      </c>
      <c r="Q6" s="4">
        <f t="shared" si="6"/>
        <v>1</v>
      </c>
    </row>
    <row r="7" spans="1:17" x14ac:dyDescent="0.3">
      <c r="A7" s="9" t="s">
        <v>28</v>
      </c>
      <c r="B7" s="10" t="s">
        <v>29</v>
      </c>
      <c r="C7" s="10" t="s">
        <v>22</v>
      </c>
      <c r="D7" s="10" t="s">
        <v>20</v>
      </c>
      <c r="E7" s="10" t="s">
        <v>31</v>
      </c>
      <c r="F7" s="5">
        <v>0.26</v>
      </c>
      <c r="G7" s="5" t="e">
        <f>F7/#REF!</f>
        <v>#REF!</v>
      </c>
      <c r="H7" s="5">
        <f t="shared" si="0"/>
        <v>2.83</v>
      </c>
      <c r="I7" s="6">
        <f>26.7/100</f>
        <v>0.26700000000000002</v>
      </c>
      <c r="J7" s="11">
        <v>0.65493698124807898</v>
      </c>
      <c r="K7" s="8">
        <f t="shared" si="1"/>
        <v>6.9420000000000009E-2</v>
      </c>
      <c r="L7" s="8">
        <f t="shared" si="2"/>
        <v>1.4552800000000001</v>
      </c>
      <c r="M7" s="8">
        <f t="shared" si="3"/>
        <v>0.51423321554770318</v>
      </c>
      <c r="N7" s="4">
        <f t="shared" si="7"/>
        <v>13</v>
      </c>
      <c r="O7" s="4">
        <f t="shared" si="4"/>
        <v>18</v>
      </c>
      <c r="P7" s="4">
        <f t="shared" si="5"/>
        <v>1</v>
      </c>
      <c r="Q7" s="4">
        <f t="shared" si="6"/>
        <v>1</v>
      </c>
    </row>
    <row r="8" spans="1:17" x14ac:dyDescent="0.3">
      <c r="A8" s="3" t="s">
        <v>28</v>
      </c>
      <c r="B8" s="4" t="s">
        <v>29</v>
      </c>
      <c r="C8" s="4" t="s">
        <v>24</v>
      </c>
      <c r="D8" s="4" t="s">
        <v>20</v>
      </c>
      <c r="E8" s="4" t="s">
        <v>32</v>
      </c>
      <c r="F8" s="5">
        <v>0.75</v>
      </c>
      <c r="G8" s="5" t="e">
        <f>F8/#REF!</f>
        <v>#REF!</v>
      </c>
      <c r="H8" s="5">
        <f t="shared" si="0"/>
        <v>2.83</v>
      </c>
      <c r="I8" s="6">
        <f>49.6/100</f>
        <v>0.496</v>
      </c>
      <c r="J8" s="7">
        <v>0.19744934291448199</v>
      </c>
      <c r="K8" s="8">
        <f t="shared" si="1"/>
        <v>0.372</v>
      </c>
      <c r="L8" s="8">
        <f t="shared" si="2"/>
        <v>1.4552800000000001</v>
      </c>
      <c r="M8" s="8">
        <f t="shared" si="3"/>
        <v>0.51423321554770318</v>
      </c>
      <c r="N8" s="4">
        <f t="shared" si="7"/>
        <v>5</v>
      </c>
      <c r="O8" s="4">
        <f t="shared" si="4"/>
        <v>6</v>
      </c>
      <c r="P8" s="4">
        <f t="shared" si="5"/>
        <v>1</v>
      </c>
      <c r="Q8" s="4">
        <f t="shared" si="6"/>
        <v>1</v>
      </c>
    </row>
    <row r="9" spans="1:17" x14ac:dyDescent="0.3">
      <c r="A9" s="9" t="s">
        <v>28</v>
      </c>
      <c r="B9" s="10" t="s">
        <v>29</v>
      </c>
      <c r="C9" s="10" t="s">
        <v>26</v>
      </c>
      <c r="D9" s="10" t="s">
        <v>20</v>
      </c>
      <c r="E9" s="10" t="s">
        <v>33</v>
      </c>
      <c r="F9" s="5">
        <v>0.73</v>
      </c>
      <c r="G9" s="5" t="e">
        <f>F9/#REF!</f>
        <v>#REF!</v>
      </c>
      <c r="H9" s="5">
        <f t="shared" si="0"/>
        <v>2.83</v>
      </c>
      <c r="I9" s="6">
        <f>48.4/100</f>
        <v>0.48399999999999999</v>
      </c>
      <c r="J9" s="11">
        <v>5.26065431148331E-2</v>
      </c>
      <c r="K9" s="8">
        <f t="shared" si="1"/>
        <v>0.35331999999999997</v>
      </c>
      <c r="L9" s="8">
        <f t="shared" si="2"/>
        <v>1.4552800000000001</v>
      </c>
      <c r="M9" s="8">
        <f t="shared" si="3"/>
        <v>0.51423321554770318</v>
      </c>
      <c r="N9" s="4">
        <f t="shared" si="7"/>
        <v>6</v>
      </c>
      <c r="O9" s="4">
        <f t="shared" si="4"/>
        <v>7</v>
      </c>
      <c r="P9" s="4">
        <f t="shared" si="5"/>
        <v>1</v>
      </c>
      <c r="Q9" s="4">
        <f t="shared" si="6"/>
        <v>1</v>
      </c>
    </row>
    <row r="10" spans="1:17" x14ac:dyDescent="0.3">
      <c r="A10" s="3" t="s">
        <v>34</v>
      </c>
      <c r="B10" s="4" t="s">
        <v>35</v>
      </c>
      <c r="C10" s="4" t="s">
        <v>19</v>
      </c>
      <c r="D10" s="4" t="s">
        <v>36</v>
      </c>
      <c r="E10" s="4" t="s">
        <v>37</v>
      </c>
      <c r="F10" s="5">
        <v>0.72</v>
      </c>
      <c r="G10" s="5" t="e">
        <f>F10/#REF!</f>
        <v>#REF!</v>
      </c>
      <c r="H10" s="5">
        <f t="shared" si="0"/>
        <v>1.58</v>
      </c>
      <c r="I10" s="6">
        <f>7.6/100</f>
        <v>7.5999999999999998E-2</v>
      </c>
      <c r="J10" s="7">
        <v>2.5296815974096101E-5</v>
      </c>
      <c r="K10" s="8">
        <f t="shared" si="1"/>
        <v>5.4719999999999998E-2</v>
      </c>
      <c r="L10" s="8">
        <f t="shared" si="2"/>
        <v>6.9459999999999994E-2</v>
      </c>
      <c r="M10" s="8">
        <f t="shared" si="3"/>
        <v>4.396202531645569E-2</v>
      </c>
      <c r="N10" s="4">
        <f t="shared" si="7"/>
        <v>27</v>
      </c>
      <c r="O10" s="4">
        <f t="shared" si="4"/>
        <v>22</v>
      </c>
      <c r="P10" s="4">
        <f t="shared" si="5"/>
        <v>51</v>
      </c>
      <c r="Q10" s="4">
        <f t="shared" si="6"/>
        <v>47</v>
      </c>
    </row>
    <row r="11" spans="1:17" x14ac:dyDescent="0.3">
      <c r="A11" s="9" t="s">
        <v>34</v>
      </c>
      <c r="B11" s="10" t="s">
        <v>35</v>
      </c>
      <c r="C11" s="10" t="s">
        <v>22</v>
      </c>
      <c r="D11" s="10" t="s">
        <v>36</v>
      </c>
      <c r="E11" s="10" t="s">
        <v>38</v>
      </c>
      <c r="F11" s="5">
        <v>0.48</v>
      </c>
      <c r="G11" s="5" t="e">
        <f>F11/#REF!</f>
        <v>#REF!</v>
      </c>
      <c r="H11" s="5">
        <f t="shared" si="0"/>
        <v>1.58</v>
      </c>
      <c r="I11" s="6">
        <f>0.3/100</f>
        <v>3.0000000000000001E-3</v>
      </c>
      <c r="J11" s="11">
        <v>7.6747767810685395E-5</v>
      </c>
      <c r="K11" s="8">
        <f t="shared" si="1"/>
        <v>1.4399999999999999E-3</v>
      </c>
      <c r="L11" s="8">
        <f t="shared" si="2"/>
        <v>6.9459999999999994E-2</v>
      </c>
      <c r="M11" s="8">
        <f t="shared" si="3"/>
        <v>4.396202531645569E-2</v>
      </c>
      <c r="N11" s="4">
        <f t="shared" si="7"/>
        <v>53</v>
      </c>
      <c r="O11" s="4">
        <f t="shared" si="4"/>
        <v>50</v>
      </c>
      <c r="P11" s="4">
        <f t="shared" si="5"/>
        <v>51</v>
      </c>
      <c r="Q11" s="4">
        <f t="shared" si="6"/>
        <v>47</v>
      </c>
    </row>
    <row r="12" spans="1:17" x14ac:dyDescent="0.3">
      <c r="A12" s="3" t="s">
        <v>34</v>
      </c>
      <c r="B12" s="4" t="s">
        <v>35</v>
      </c>
      <c r="C12" s="4" t="s">
        <v>24</v>
      </c>
      <c r="D12" s="4" t="s">
        <v>36</v>
      </c>
      <c r="E12" s="4" t="s">
        <v>39</v>
      </c>
      <c r="F12" s="5">
        <v>0.38</v>
      </c>
      <c r="G12" s="5" t="e">
        <f>F12/#REF!</f>
        <v>#REF!</v>
      </c>
      <c r="H12" s="5">
        <f t="shared" si="0"/>
        <v>1.58</v>
      </c>
      <c r="I12" s="6">
        <f>3.5/100</f>
        <v>3.5000000000000003E-2</v>
      </c>
      <c r="J12" s="7">
        <v>0.451400650739882</v>
      </c>
      <c r="K12" s="8">
        <f t="shared" si="1"/>
        <v>1.3300000000000001E-2</v>
      </c>
      <c r="L12" s="8">
        <f t="shared" si="2"/>
        <v>6.9459999999999994E-2</v>
      </c>
      <c r="M12" s="8">
        <f t="shared" si="3"/>
        <v>4.396202531645569E-2</v>
      </c>
      <c r="N12" s="4">
        <f t="shared" si="7"/>
        <v>36</v>
      </c>
      <c r="O12" s="4">
        <f t="shared" si="4"/>
        <v>34</v>
      </c>
      <c r="P12" s="4">
        <f t="shared" si="5"/>
        <v>51</v>
      </c>
      <c r="Q12" s="4">
        <f t="shared" si="6"/>
        <v>47</v>
      </c>
    </row>
    <row r="13" spans="1:17" x14ac:dyDescent="0.3">
      <c r="A13" s="9" t="s">
        <v>28</v>
      </c>
      <c r="B13" s="10" t="s">
        <v>40</v>
      </c>
      <c r="C13" s="10" t="s">
        <v>19</v>
      </c>
      <c r="D13" s="10" t="s">
        <v>20</v>
      </c>
      <c r="E13" s="10" t="s">
        <v>41</v>
      </c>
      <c r="F13" s="5">
        <v>0.5</v>
      </c>
      <c r="G13" s="5" t="e">
        <f>F13/#REF!</f>
        <v>#REF!</v>
      </c>
      <c r="H13" s="5">
        <f t="shared" si="0"/>
        <v>2.0999999999999996</v>
      </c>
      <c r="I13" s="6">
        <f>19.2/100</f>
        <v>0.192</v>
      </c>
      <c r="J13" s="11">
        <v>0.34396803861276798</v>
      </c>
      <c r="K13" s="8">
        <f t="shared" si="1"/>
        <v>9.6000000000000002E-2</v>
      </c>
      <c r="L13" s="8">
        <f t="shared" si="2"/>
        <v>0.41996</v>
      </c>
      <c r="M13" s="8">
        <f t="shared" si="3"/>
        <v>0.19998095238095243</v>
      </c>
      <c r="N13" s="4">
        <f t="shared" si="7"/>
        <v>16</v>
      </c>
      <c r="O13" s="4">
        <f t="shared" si="4"/>
        <v>16</v>
      </c>
      <c r="P13" s="4">
        <f t="shared" si="5"/>
        <v>23</v>
      </c>
      <c r="Q13" s="4">
        <f t="shared" si="6"/>
        <v>16</v>
      </c>
    </row>
    <row r="14" spans="1:17" x14ac:dyDescent="0.3">
      <c r="A14" s="3" t="s">
        <v>28</v>
      </c>
      <c r="B14" s="4" t="s">
        <v>40</v>
      </c>
      <c r="C14" s="4" t="s">
        <v>22</v>
      </c>
      <c r="D14" s="4" t="s">
        <v>20</v>
      </c>
      <c r="E14" s="4" t="s">
        <v>42</v>
      </c>
      <c r="F14" s="5">
        <v>0.28000000000000003</v>
      </c>
      <c r="G14" s="5" t="e">
        <f>F14/#REF!</f>
        <v>#REF!</v>
      </c>
      <c r="H14" s="5">
        <f t="shared" si="0"/>
        <v>2.0999999999999996</v>
      </c>
      <c r="I14" s="6">
        <f>4.9/100</f>
        <v>4.9000000000000002E-2</v>
      </c>
      <c r="J14" s="7">
        <v>0.261008553253675</v>
      </c>
      <c r="K14" s="8">
        <f t="shared" si="1"/>
        <v>1.3720000000000001E-2</v>
      </c>
      <c r="L14" s="8">
        <f t="shared" si="2"/>
        <v>0.41996</v>
      </c>
      <c r="M14" s="8">
        <f t="shared" si="3"/>
        <v>0.19998095238095243</v>
      </c>
      <c r="N14" s="4">
        <f t="shared" si="7"/>
        <v>33</v>
      </c>
      <c r="O14" s="4">
        <f t="shared" si="4"/>
        <v>33</v>
      </c>
      <c r="P14" s="4">
        <f t="shared" si="5"/>
        <v>23</v>
      </c>
      <c r="Q14" s="4">
        <f t="shared" si="6"/>
        <v>16</v>
      </c>
    </row>
    <row r="15" spans="1:17" x14ac:dyDescent="0.3">
      <c r="A15" s="9" t="s">
        <v>28</v>
      </c>
      <c r="B15" s="10" t="s">
        <v>40</v>
      </c>
      <c r="C15" s="10" t="s">
        <v>24</v>
      </c>
      <c r="D15" s="10" t="s">
        <v>20</v>
      </c>
      <c r="E15" s="10" t="s">
        <v>43</v>
      </c>
      <c r="F15" s="5">
        <v>0.37</v>
      </c>
      <c r="G15" s="5" t="e">
        <f>F15/#REF!</f>
        <v>#REF!</v>
      </c>
      <c r="H15" s="5">
        <f t="shared" si="0"/>
        <v>2.0999999999999996</v>
      </c>
      <c r="I15" s="6">
        <f>2.2/100</f>
        <v>2.2000000000000002E-2</v>
      </c>
      <c r="J15" s="11">
        <v>0.30730116501104898</v>
      </c>
      <c r="K15" s="8">
        <f t="shared" si="1"/>
        <v>8.1400000000000014E-3</v>
      </c>
      <c r="L15" s="8">
        <f t="shared" si="2"/>
        <v>0.41996</v>
      </c>
      <c r="M15" s="8">
        <f t="shared" si="3"/>
        <v>0.19998095238095243</v>
      </c>
      <c r="N15" s="4">
        <f t="shared" si="7"/>
        <v>39</v>
      </c>
      <c r="O15" s="4">
        <f t="shared" si="4"/>
        <v>40</v>
      </c>
      <c r="P15" s="4">
        <f t="shared" si="5"/>
        <v>23</v>
      </c>
      <c r="Q15" s="4">
        <f t="shared" si="6"/>
        <v>16</v>
      </c>
    </row>
    <row r="16" spans="1:17" x14ac:dyDescent="0.3">
      <c r="A16" s="3" t="s">
        <v>28</v>
      </c>
      <c r="B16" s="4" t="s">
        <v>40</v>
      </c>
      <c r="C16" s="4" t="s">
        <v>26</v>
      </c>
      <c r="D16" s="4" t="s">
        <v>20</v>
      </c>
      <c r="E16" s="4" t="s">
        <v>44</v>
      </c>
      <c r="F16" s="5">
        <v>0.95</v>
      </c>
      <c r="G16" s="5" t="e">
        <f>F16/#REF!</f>
        <v>#REF!</v>
      </c>
      <c r="H16" s="5">
        <f t="shared" si="0"/>
        <v>2.0999999999999996</v>
      </c>
      <c r="I16" s="6">
        <f>31.8/100</f>
        <v>0.318</v>
      </c>
      <c r="J16" s="7">
        <v>0.65491790932369298</v>
      </c>
      <c r="K16" s="8">
        <f t="shared" si="1"/>
        <v>0.30209999999999998</v>
      </c>
      <c r="L16" s="8">
        <f t="shared" si="2"/>
        <v>0.41996</v>
      </c>
      <c r="M16" s="8">
        <f t="shared" si="3"/>
        <v>0.19998095238095243</v>
      </c>
      <c r="N16" s="4">
        <f t="shared" si="7"/>
        <v>12</v>
      </c>
      <c r="O16" s="4">
        <f t="shared" si="4"/>
        <v>9</v>
      </c>
      <c r="P16" s="4">
        <f t="shared" si="5"/>
        <v>23</v>
      </c>
      <c r="Q16" s="4">
        <f t="shared" si="6"/>
        <v>16</v>
      </c>
    </row>
    <row r="17" spans="1:17" x14ac:dyDescent="0.3">
      <c r="A17" s="9" t="s">
        <v>45</v>
      </c>
      <c r="B17" s="10" t="s">
        <v>46</v>
      </c>
      <c r="C17" s="10" t="s">
        <v>19</v>
      </c>
      <c r="D17" s="10" t="s">
        <v>20</v>
      </c>
      <c r="E17" s="10" t="s">
        <v>47</v>
      </c>
      <c r="F17" s="5">
        <v>0.69</v>
      </c>
      <c r="G17" s="5" t="e">
        <f>F17/#REF!</f>
        <v>#REF!</v>
      </c>
      <c r="H17" s="5">
        <f t="shared" si="0"/>
        <v>1.79</v>
      </c>
      <c r="I17" s="6">
        <f>44.2/100</f>
        <v>0.442</v>
      </c>
      <c r="J17" s="11">
        <v>0.56239034399641696</v>
      </c>
      <c r="K17" s="8">
        <f t="shared" si="1"/>
        <v>0.30497999999999997</v>
      </c>
      <c r="L17" s="8">
        <f t="shared" si="2"/>
        <v>0.39563999999999999</v>
      </c>
      <c r="M17" s="8">
        <f t="shared" si="3"/>
        <v>0.22102793296089385</v>
      </c>
      <c r="N17" s="4">
        <f t="shared" si="7"/>
        <v>8</v>
      </c>
      <c r="O17" s="4">
        <f t="shared" si="4"/>
        <v>8</v>
      </c>
      <c r="P17" s="4">
        <f t="shared" si="5"/>
        <v>19</v>
      </c>
      <c r="Q17" s="4">
        <f t="shared" si="6"/>
        <v>20</v>
      </c>
    </row>
    <row r="18" spans="1:17" x14ac:dyDescent="0.3">
      <c r="A18" s="3" t="s">
        <v>45</v>
      </c>
      <c r="B18" s="4" t="s">
        <v>46</v>
      </c>
      <c r="C18" s="4" t="s">
        <v>22</v>
      </c>
      <c r="D18" s="4" t="s">
        <v>20</v>
      </c>
      <c r="E18" s="4" t="s">
        <v>48</v>
      </c>
      <c r="F18" s="5">
        <v>0.35</v>
      </c>
      <c r="G18" s="5" t="e">
        <f>F18/#REF!</f>
        <v>#REF!</v>
      </c>
      <c r="H18" s="5">
        <f t="shared" si="0"/>
        <v>1.79</v>
      </c>
      <c r="I18" s="6">
        <f>5.2/100</f>
        <v>5.2000000000000005E-2</v>
      </c>
      <c r="J18" s="7">
        <v>0.19867500266420399</v>
      </c>
      <c r="K18" s="8">
        <f t="shared" si="1"/>
        <v>1.8200000000000001E-2</v>
      </c>
      <c r="L18" s="8">
        <f t="shared" si="2"/>
        <v>0.39563999999999999</v>
      </c>
      <c r="M18" s="8">
        <f t="shared" si="3"/>
        <v>0.22102793296089385</v>
      </c>
      <c r="N18" s="4">
        <f t="shared" si="7"/>
        <v>30</v>
      </c>
      <c r="O18" s="4">
        <f t="shared" si="4"/>
        <v>32</v>
      </c>
      <c r="P18" s="4">
        <f t="shared" si="5"/>
        <v>19</v>
      </c>
      <c r="Q18" s="4">
        <f t="shared" si="6"/>
        <v>20</v>
      </c>
    </row>
    <row r="19" spans="1:17" x14ac:dyDescent="0.3">
      <c r="A19" s="9" t="s">
        <v>45</v>
      </c>
      <c r="B19" s="10" t="s">
        <v>46</v>
      </c>
      <c r="C19" s="10" t="s">
        <v>24</v>
      </c>
      <c r="D19" s="10" t="s">
        <v>20</v>
      </c>
      <c r="E19" s="10" t="s">
        <v>49</v>
      </c>
      <c r="F19" s="5">
        <v>0.41</v>
      </c>
      <c r="G19" s="5" t="e">
        <f>F19/#REF!</f>
        <v>#REF!</v>
      </c>
      <c r="H19" s="5">
        <f t="shared" si="0"/>
        <v>1.79</v>
      </c>
      <c r="I19" s="6">
        <f>15.6/100</f>
        <v>0.156</v>
      </c>
      <c r="J19" s="11">
        <v>0.52926288396006005</v>
      </c>
      <c r="K19" s="8">
        <f t="shared" si="1"/>
        <v>6.3960000000000003E-2</v>
      </c>
      <c r="L19" s="8">
        <f t="shared" si="2"/>
        <v>0.39563999999999999</v>
      </c>
      <c r="M19" s="8">
        <f t="shared" si="3"/>
        <v>0.22102793296089385</v>
      </c>
      <c r="N19" s="4">
        <f t="shared" si="7"/>
        <v>19</v>
      </c>
      <c r="O19" s="4">
        <f t="shared" si="4"/>
        <v>19</v>
      </c>
      <c r="P19" s="4">
        <f t="shared" si="5"/>
        <v>19</v>
      </c>
      <c r="Q19" s="4">
        <f t="shared" si="6"/>
        <v>20</v>
      </c>
    </row>
    <row r="20" spans="1:17" x14ac:dyDescent="0.3">
      <c r="A20" s="3" t="s">
        <v>45</v>
      </c>
      <c r="B20" s="4" t="s">
        <v>46</v>
      </c>
      <c r="C20" s="4" t="s">
        <v>26</v>
      </c>
      <c r="D20" s="4" t="s">
        <v>20</v>
      </c>
      <c r="E20" s="4" t="s">
        <v>50</v>
      </c>
      <c r="F20" s="5">
        <v>0.34</v>
      </c>
      <c r="G20" s="5" t="e">
        <f>F20/#REF!</f>
        <v>#REF!</v>
      </c>
      <c r="H20" s="5">
        <f t="shared" si="0"/>
        <v>1.79</v>
      </c>
      <c r="I20" s="6">
        <f>2.5/100</f>
        <v>2.5000000000000001E-2</v>
      </c>
      <c r="J20" s="7">
        <v>0.27051928922874402</v>
      </c>
      <c r="K20" s="8">
        <f t="shared" si="1"/>
        <v>8.5000000000000006E-3</v>
      </c>
      <c r="L20" s="8">
        <f t="shared" si="2"/>
        <v>0.39563999999999999</v>
      </c>
      <c r="M20" s="8">
        <f t="shared" si="3"/>
        <v>0.22102793296089385</v>
      </c>
      <c r="N20" s="4">
        <f t="shared" si="7"/>
        <v>37</v>
      </c>
      <c r="O20" s="4">
        <f t="shared" si="4"/>
        <v>38</v>
      </c>
      <c r="P20" s="4">
        <f t="shared" si="5"/>
        <v>19</v>
      </c>
      <c r="Q20" s="4">
        <f t="shared" si="6"/>
        <v>20</v>
      </c>
    </row>
    <row r="21" spans="1:17" x14ac:dyDescent="0.3">
      <c r="A21" s="9" t="s">
        <v>51</v>
      </c>
      <c r="B21" s="10" t="s">
        <v>52</v>
      </c>
      <c r="C21" s="10" t="s">
        <v>19</v>
      </c>
      <c r="D21" s="10" t="s">
        <v>20</v>
      </c>
      <c r="E21" s="10" t="s">
        <v>53</v>
      </c>
      <c r="F21" s="5">
        <v>0.34</v>
      </c>
      <c r="G21" s="5" t="e">
        <f>F21/#REF!</f>
        <v>#REF!</v>
      </c>
      <c r="H21" s="5">
        <f t="shared" si="0"/>
        <v>1.7800000000000002</v>
      </c>
      <c r="I21" s="6">
        <f>6.5/100</f>
        <v>6.5000000000000002E-2</v>
      </c>
      <c r="J21" s="11">
        <v>0.201492537313433</v>
      </c>
      <c r="K21" s="8">
        <f t="shared" si="1"/>
        <v>2.2100000000000002E-2</v>
      </c>
      <c r="L21" s="8">
        <f t="shared" si="2"/>
        <v>2.46E-2</v>
      </c>
      <c r="M21" s="8">
        <f t="shared" si="3"/>
        <v>1.3820224719101121E-2</v>
      </c>
      <c r="N21" s="4">
        <f t="shared" si="7"/>
        <v>28</v>
      </c>
      <c r="O21" s="4">
        <f t="shared" si="4"/>
        <v>31</v>
      </c>
      <c r="P21" s="4">
        <f t="shared" si="5"/>
        <v>58</v>
      </c>
      <c r="Q21" s="4">
        <f t="shared" si="6"/>
        <v>58</v>
      </c>
    </row>
    <row r="22" spans="1:17" x14ac:dyDescent="0.3">
      <c r="A22" s="3" t="s">
        <v>51</v>
      </c>
      <c r="B22" s="4" t="s">
        <v>52</v>
      </c>
      <c r="C22" s="4" t="s">
        <v>22</v>
      </c>
      <c r="D22" s="4" t="s">
        <v>20</v>
      </c>
      <c r="E22" s="4" t="s">
        <v>54</v>
      </c>
      <c r="F22" s="5">
        <v>0.52</v>
      </c>
      <c r="G22" s="5" t="e">
        <f>F22/#REF!</f>
        <v>#REF!</v>
      </c>
      <c r="H22" s="5">
        <f t="shared" si="0"/>
        <v>1.7800000000000002</v>
      </c>
      <c r="I22" s="6">
        <f>0.2/100</f>
        <v>2E-3</v>
      </c>
      <c r="J22" s="7">
        <v>0.147330960854093</v>
      </c>
      <c r="K22" s="8">
        <f t="shared" si="1"/>
        <v>1.0400000000000001E-3</v>
      </c>
      <c r="L22" s="8">
        <f t="shared" si="2"/>
        <v>2.46E-2</v>
      </c>
      <c r="M22" s="8">
        <f t="shared" si="3"/>
        <v>1.3820224719101121E-2</v>
      </c>
      <c r="N22" s="4">
        <f t="shared" si="7"/>
        <v>54</v>
      </c>
      <c r="O22" s="4">
        <f t="shared" si="4"/>
        <v>56</v>
      </c>
      <c r="P22" s="4">
        <f t="shared" si="5"/>
        <v>58</v>
      </c>
      <c r="Q22" s="4">
        <f t="shared" si="6"/>
        <v>58</v>
      </c>
    </row>
    <row r="23" spans="1:17" x14ac:dyDescent="0.3">
      <c r="A23" s="9" t="s">
        <v>51</v>
      </c>
      <c r="B23" s="10" t="s">
        <v>52</v>
      </c>
      <c r="C23" s="10" t="s">
        <v>24</v>
      </c>
      <c r="D23" s="10" t="s">
        <v>20</v>
      </c>
      <c r="E23" s="10" t="s">
        <v>55</v>
      </c>
      <c r="F23" s="5">
        <v>0.54</v>
      </c>
      <c r="G23" s="5" t="e">
        <f>F23/#REF!</f>
        <v>#REF!</v>
      </c>
      <c r="H23" s="5">
        <f t="shared" si="0"/>
        <v>1.7800000000000002</v>
      </c>
      <c r="I23" s="6">
        <f>0.2/100</f>
        <v>2E-3</v>
      </c>
      <c r="J23" s="11">
        <v>0.15109489051094899</v>
      </c>
      <c r="K23" s="8">
        <f t="shared" si="1"/>
        <v>1.08E-3</v>
      </c>
      <c r="L23" s="8">
        <f t="shared" si="2"/>
        <v>2.46E-2</v>
      </c>
      <c r="M23" s="8">
        <f t="shared" si="3"/>
        <v>1.3820224719101121E-2</v>
      </c>
      <c r="N23" s="4">
        <f t="shared" si="7"/>
        <v>54</v>
      </c>
      <c r="O23" s="4">
        <f t="shared" si="4"/>
        <v>55</v>
      </c>
      <c r="P23" s="4">
        <f t="shared" si="5"/>
        <v>58</v>
      </c>
      <c r="Q23" s="4">
        <f t="shared" si="6"/>
        <v>58</v>
      </c>
    </row>
    <row r="24" spans="1:17" x14ac:dyDescent="0.3">
      <c r="A24" s="3" t="s">
        <v>51</v>
      </c>
      <c r="B24" s="4" t="s">
        <v>52</v>
      </c>
      <c r="C24" s="4" t="s">
        <v>26</v>
      </c>
      <c r="D24" s="4" t="s">
        <v>20</v>
      </c>
      <c r="E24" s="4" t="s">
        <v>56</v>
      </c>
      <c r="F24" s="5">
        <v>0.38</v>
      </c>
      <c r="G24" s="5" t="e">
        <f>F24/#REF!</f>
        <v>#REF!</v>
      </c>
      <c r="H24" s="5">
        <f t="shared" si="0"/>
        <v>1.7800000000000002</v>
      </c>
      <c r="I24" s="6">
        <f>0.1/100</f>
        <v>1E-3</v>
      </c>
      <c r="J24" s="7">
        <v>0.16910229645093899</v>
      </c>
      <c r="K24" s="8">
        <f t="shared" si="1"/>
        <v>3.8000000000000002E-4</v>
      </c>
      <c r="L24" s="8">
        <f t="shared" si="2"/>
        <v>2.46E-2</v>
      </c>
      <c r="M24" s="8">
        <f t="shared" si="3"/>
        <v>1.3820224719101121E-2</v>
      </c>
      <c r="N24" s="4">
        <f t="shared" si="7"/>
        <v>58</v>
      </c>
      <c r="O24" s="4">
        <f t="shared" si="4"/>
        <v>58</v>
      </c>
      <c r="P24" s="4">
        <f t="shared" si="5"/>
        <v>58</v>
      </c>
      <c r="Q24" s="4">
        <f t="shared" si="6"/>
        <v>58</v>
      </c>
    </row>
    <row r="25" spans="1:17" x14ac:dyDescent="0.3">
      <c r="A25" s="9" t="s">
        <v>28</v>
      </c>
      <c r="B25" s="10" t="s">
        <v>57</v>
      </c>
      <c r="C25" s="10" t="s">
        <v>19</v>
      </c>
      <c r="D25" s="10" t="s">
        <v>20</v>
      </c>
      <c r="E25" s="12" t="s">
        <v>58</v>
      </c>
      <c r="F25" s="5">
        <v>0.51</v>
      </c>
      <c r="G25" s="5" t="e">
        <f>F25/#REF!</f>
        <v>#REF!</v>
      </c>
      <c r="H25" s="5">
        <f t="shared" si="0"/>
        <v>1.3</v>
      </c>
      <c r="I25" s="6">
        <f>0.2/100</f>
        <v>2E-3</v>
      </c>
      <c r="J25" s="11">
        <v>0.16201766282117899</v>
      </c>
      <c r="K25" s="8">
        <f t="shared" si="1"/>
        <v>1.0200000000000001E-3</v>
      </c>
      <c r="L25" s="8">
        <f t="shared" si="2"/>
        <v>6.9370000000000015E-2</v>
      </c>
      <c r="M25" s="8">
        <f t="shared" si="3"/>
        <v>5.3361538461538474E-2</v>
      </c>
      <c r="N25" s="4">
        <f t="shared" si="7"/>
        <v>54</v>
      </c>
      <c r="O25" s="4">
        <f t="shared" si="4"/>
        <v>57</v>
      </c>
      <c r="P25" s="4">
        <f t="shared" si="5"/>
        <v>39</v>
      </c>
      <c r="Q25" s="4">
        <f t="shared" si="6"/>
        <v>50</v>
      </c>
    </row>
    <row r="26" spans="1:17" x14ac:dyDescent="0.3">
      <c r="A26" s="3" t="s">
        <v>28</v>
      </c>
      <c r="B26" s="4" t="s">
        <v>57</v>
      </c>
      <c r="C26" s="4" t="s">
        <v>22</v>
      </c>
      <c r="D26" s="4" t="s">
        <v>20</v>
      </c>
      <c r="E26" s="13" t="s">
        <v>59</v>
      </c>
      <c r="F26" s="5">
        <v>0.28000000000000003</v>
      </c>
      <c r="G26" s="5" t="e">
        <f>F26/#REF!</f>
        <v>#REF!</v>
      </c>
      <c r="H26" s="5">
        <f t="shared" si="0"/>
        <v>1.3</v>
      </c>
      <c r="I26" s="6">
        <f>13.4/100</f>
        <v>0.13400000000000001</v>
      </c>
      <c r="J26" s="7">
        <v>0.295996678690369</v>
      </c>
      <c r="K26" s="8">
        <f t="shared" si="1"/>
        <v>3.7520000000000005E-2</v>
      </c>
      <c r="L26" s="8">
        <f t="shared" si="2"/>
        <v>6.9370000000000015E-2</v>
      </c>
      <c r="M26" s="8">
        <f t="shared" si="3"/>
        <v>5.3361538461538474E-2</v>
      </c>
      <c r="N26" s="4">
        <f t="shared" si="7"/>
        <v>20</v>
      </c>
      <c r="O26" s="4">
        <f t="shared" si="4"/>
        <v>24</v>
      </c>
      <c r="P26" s="4">
        <f t="shared" si="5"/>
        <v>39</v>
      </c>
      <c r="Q26" s="4">
        <f t="shared" si="6"/>
        <v>50</v>
      </c>
    </row>
    <row r="27" spans="1:17" x14ac:dyDescent="0.3">
      <c r="A27" s="9" t="s">
        <v>28</v>
      </c>
      <c r="B27" s="10" t="s">
        <v>57</v>
      </c>
      <c r="C27" s="10" t="s">
        <v>24</v>
      </c>
      <c r="D27" s="10" t="s">
        <v>20</v>
      </c>
      <c r="E27" s="10" t="s">
        <v>60</v>
      </c>
      <c r="F27" s="5">
        <v>0.31</v>
      </c>
      <c r="G27" s="5" t="e">
        <f>F27/#REF!</f>
        <v>#REF!</v>
      </c>
      <c r="H27" s="5">
        <f t="shared" si="0"/>
        <v>1.3</v>
      </c>
      <c r="I27" s="6">
        <f>9.3/100</f>
        <v>9.3000000000000013E-2</v>
      </c>
      <c r="J27" s="11">
        <v>0.10700308869467599</v>
      </c>
      <c r="K27" s="8">
        <f t="shared" si="1"/>
        <v>2.8830000000000005E-2</v>
      </c>
      <c r="L27" s="8">
        <f t="shared" si="2"/>
        <v>6.9370000000000015E-2</v>
      </c>
      <c r="M27" s="8">
        <f t="shared" si="3"/>
        <v>5.3361538461538474E-2</v>
      </c>
      <c r="N27" s="4">
        <f t="shared" si="7"/>
        <v>23</v>
      </c>
      <c r="O27" s="4">
        <f t="shared" si="4"/>
        <v>28</v>
      </c>
      <c r="P27" s="4">
        <f t="shared" si="5"/>
        <v>39</v>
      </c>
      <c r="Q27" s="4">
        <f t="shared" si="6"/>
        <v>50</v>
      </c>
    </row>
    <row r="28" spans="1:17" x14ac:dyDescent="0.3">
      <c r="A28" s="3" t="s">
        <v>28</v>
      </c>
      <c r="B28" s="4" t="s">
        <v>57</v>
      </c>
      <c r="C28" s="4" t="s">
        <v>26</v>
      </c>
      <c r="D28" s="4" t="s">
        <v>20</v>
      </c>
      <c r="E28" s="4" t="s">
        <v>61</v>
      </c>
      <c r="F28" s="5">
        <v>0.2</v>
      </c>
      <c r="G28" s="5" t="e">
        <f>F28/#REF!</f>
        <v>#REF!</v>
      </c>
      <c r="H28" s="5">
        <f t="shared" si="0"/>
        <v>1.3</v>
      </c>
      <c r="I28" s="6">
        <f>1/100</f>
        <v>0.01</v>
      </c>
      <c r="J28" s="7">
        <v>0.27727008610215997</v>
      </c>
      <c r="K28" s="8">
        <f t="shared" si="1"/>
        <v>2E-3</v>
      </c>
      <c r="L28" s="8">
        <f t="shared" si="2"/>
        <v>6.9370000000000015E-2</v>
      </c>
      <c r="M28" s="8">
        <f t="shared" si="3"/>
        <v>5.3361538461538474E-2</v>
      </c>
      <c r="N28" s="4">
        <f t="shared" si="7"/>
        <v>46</v>
      </c>
      <c r="O28" s="4">
        <f t="shared" si="4"/>
        <v>47</v>
      </c>
      <c r="P28" s="4">
        <f t="shared" si="5"/>
        <v>39</v>
      </c>
      <c r="Q28" s="4">
        <f t="shared" si="6"/>
        <v>50</v>
      </c>
    </row>
    <row r="29" spans="1:17" x14ac:dyDescent="0.3">
      <c r="A29" s="9" t="s">
        <v>62</v>
      </c>
      <c r="B29" s="10" t="s">
        <v>63</v>
      </c>
      <c r="C29" s="10" t="s">
        <v>19</v>
      </c>
      <c r="D29" s="10" t="s">
        <v>20</v>
      </c>
      <c r="E29" s="10" t="s">
        <v>64</v>
      </c>
      <c r="F29" s="5">
        <v>2.12</v>
      </c>
      <c r="G29" s="5" t="e">
        <f>F29/#REF!</f>
        <v>#REF!</v>
      </c>
      <c r="H29" s="5">
        <f t="shared" si="0"/>
        <v>3.21</v>
      </c>
      <c r="I29" s="6">
        <f>18.4/100</f>
        <v>0.184</v>
      </c>
      <c r="J29" s="11">
        <v>2.23575244065502E-3</v>
      </c>
      <c r="K29" s="8">
        <f t="shared" si="1"/>
        <v>0.39008000000000004</v>
      </c>
      <c r="L29" s="8">
        <f t="shared" si="2"/>
        <v>0.39328000000000002</v>
      </c>
      <c r="M29" s="8">
        <f t="shared" si="3"/>
        <v>0.1225171339563863</v>
      </c>
      <c r="N29" s="4">
        <f t="shared" si="7"/>
        <v>17</v>
      </c>
      <c r="O29" s="4">
        <f t="shared" si="4"/>
        <v>5</v>
      </c>
      <c r="P29" s="4">
        <f t="shared" si="5"/>
        <v>27</v>
      </c>
      <c r="Q29" s="4">
        <f t="shared" si="6"/>
        <v>24</v>
      </c>
    </row>
    <row r="30" spans="1:17" x14ac:dyDescent="0.3">
      <c r="A30" s="3" t="s">
        <v>62</v>
      </c>
      <c r="B30" s="4" t="s">
        <v>63</v>
      </c>
      <c r="C30" s="4" t="s">
        <v>22</v>
      </c>
      <c r="D30" s="4" t="s">
        <v>20</v>
      </c>
      <c r="E30" s="4" t="s">
        <v>65</v>
      </c>
      <c r="F30" s="5">
        <v>0.57999999999999996</v>
      </c>
      <c r="G30" s="5" t="e">
        <f>F30/#REF!</f>
        <v>#REF!</v>
      </c>
      <c r="H30" s="5">
        <f t="shared" si="0"/>
        <v>3.21</v>
      </c>
      <c r="I30" s="6">
        <f>0.2/100</f>
        <v>2E-3</v>
      </c>
      <c r="J30" s="7">
        <v>3.16470565473476E-4</v>
      </c>
      <c r="K30" s="8">
        <f t="shared" si="1"/>
        <v>1.16E-3</v>
      </c>
      <c r="L30" s="8">
        <f t="shared" si="2"/>
        <v>0.39328000000000002</v>
      </c>
      <c r="M30" s="8">
        <f t="shared" si="3"/>
        <v>0.1225171339563863</v>
      </c>
      <c r="N30" s="4">
        <f t="shared" si="7"/>
        <v>54</v>
      </c>
      <c r="O30" s="4">
        <f t="shared" si="4"/>
        <v>54</v>
      </c>
      <c r="P30" s="4">
        <f t="shared" si="5"/>
        <v>27</v>
      </c>
      <c r="Q30" s="4">
        <f t="shared" si="6"/>
        <v>24</v>
      </c>
    </row>
    <row r="31" spans="1:17" x14ac:dyDescent="0.3">
      <c r="A31" s="9" t="s">
        <v>62</v>
      </c>
      <c r="B31" s="10" t="s">
        <v>63</v>
      </c>
      <c r="C31" s="10" t="s">
        <v>24</v>
      </c>
      <c r="D31" s="10" t="s">
        <v>20</v>
      </c>
      <c r="E31" s="10" t="s">
        <v>66</v>
      </c>
      <c r="F31" s="5">
        <v>0.34</v>
      </c>
      <c r="G31" s="5" t="e">
        <f>F31/#REF!</f>
        <v>#REF!</v>
      </c>
      <c r="H31" s="5">
        <f t="shared" si="0"/>
        <v>3.21</v>
      </c>
      <c r="I31" s="6">
        <f>0/100</f>
        <v>0</v>
      </c>
      <c r="J31" s="11">
        <v>0</v>
      </c>
      <c r="K31" s="8">
        <f t="shared" si="1"/>
        <v>0</v>
      </c>
      <c r="L31" s="8">
        <f t="shared" si="2"/>
        <v>0.39328000000000002</v>
      </c>
      <c r="M31" s="8">
        <f t="shared" si="3"/>
        <v>0.1225171339563863</v>
      </c>
      <c r="N31" s="4">
        <f t="shared" si="7"/>
        <v>60</v>
      </c>
      <c r="O31" s="4">
        <f t="shared" si="4"/>
        <v>60</v>
      </c>
      <c r="P31" s="4">
        <f t="shared" si="5"/>
        <v>27</v>
      </c>
      <c r="Q31" s="4">
        <f t="shared" si="6"/>
        <v>24</v>
      </c>
    </row>
    <row r="32" spans="1:17" x14ac:dyDescent="0.3">
      <c r="A32" s="3" t="s">
        <v>62</v>
      </c>
      <c r="B32" s="4" t="s">
        <v>63</v>
      </c>
      <c r="C32" s="4" t="s">
        <v>26</v>
      </c>
      <c r="D32" s="4" t="s">
        <v>20</v>
      </c>
      <c r="E32" s="4" t="s">
        <v>67</v>
      </c>
      <c r="F32" s="5">
        <v>0.17</v>
      </c>
      <c r="G32" s="5" t="e">
        <f>F32/#REF!</f>
        <v>#REF!</v>
      </c>
      <c r="H32" s="5">
        <f t="shared" si="0"/>
        <v>3.21</v>
      </c>
      <c r="I32" s="6">
        <f>1.2/100</f>
        <v>1.2E-2</v>
      </c>
      <c r="J32" s="7">
        <v>1.49511326765092E-2</v>
      </c>
      <c r="K32" s="8">
        <f t="shared" si="1"/>
        <v>2.0400000000000001E-3</v>
      </c>
      <c r="L32" s="8">
        <f t="shared" si="2"/>
        <v>0.39328000000000002</v>
      </c>
      <c r="M32" s="8">
        <f t="shared" si="3"/>
        <v>0.1225171339563863</v>
      </c>
      <c r="N32" s="4">
        <f t="shared" si="7"/>
        <v>45</v>
      </c>
      <c r="O32" s="4">
        <f t="shared" si="4"/>
        <v>46</v>
      </c>
      <c r="P32" s="4">
        <f t="shared" si="5"/>
        <v>27</v>
      </c>
      <c r="Q32" s="4">
        <f t="shared" si="6"/>
        <v>24</v>
      </c>
    </row>
    <row r="33" spans="1:17" x14ac:dyDescent="0.3">
      <c r="A33" s="9" t="s">
        <v>28</v>
      </c>
      <c r="B33" s="10" t="s">
        <v>68</v>
      </c>
      <c r="C33" s="10" t="s">
        <v>19</v>
      </c>
      <c r="D33" s="10" t="s">
        <v>20</v>
      </c>
      <c r="E33" s="10" t="s">
        <v>69</v>
      </c>
      <c r="F33" s="5">
        <v>0.7</v>
      </c>
      <c r="G33" s="5" t="e">
        <f>F33/#REF!</f>
        <v>#REF!</v>
      </c>
      <c r="H33" s="5">
        <f t="shared" si="0"/>
        <v>1.9699999999999998</v>
      </c>
      <c r="I33" s="6">
        <f>26/100</f>
        <v>0.26</v>
      </c>
      <c r="J33" s="11">
        <v>0.21415261123273599</v>
      </c>
      <c r="K33" s="8">
        <f t="shared" si="1"/>
        <v>0.182</v>
      </c>
      <c r="L33" s="8">
        <f t="shared" si="2"/>
        <v>0.22306999999999999</v>
      </c>
      <c r="M33" s="8">
        <f t="shared" si="3"/>
        <v>0.11323350253807107</v>
      </c>
      <c r="N33" s="4">
        <f t="shared" si="7"/>
        <v>15</v>
      </c>
      <c r="O33" s="4">
        <f t="shared" si="4"/>
        <v>12</v>
      </c>
      <c r="P33" s="4">
        <f t="shared" si="5"/>
        <v>35</v>
      </c>
      <c r="Q33" s="4">
        <f t="shared" si="6"/>
        <v>31</v>
      </c>
    </row>
    <row r="34" spans="1:17" x14ac:dyDescent="0.3">
      <c r="A34" s="3" t="s">
        <v>28</v>
      </c>
      <c r="B34" s="4" t="s">
        <v>68</v>
      </c>
      <c r="C34" s="4" t="s">
        <v>22</v>
      </c>
      <c r="D34" s="4" t="s">
        <v>20</v>
      </c>
      <c r="E34" s="4" t="s">
        <v>70</v>
      </c>
      <c r="F34" s="5">
        <v>0.46</v>
      </c>
      <c r="G34" s="5" t="e">
        <f>F34/#REF!</f>
        <v>#REF!</v>
      </c>
      <c r="H34" s="5">
        <f t="shared" si="0"/>
        <v>1.9699999999999998</v>
      </c>
      <c r="I34" s="6">
        <f>7.8/100</f>
        <v>7.8E-2</v>
      </c>
      <c r="J34" s="7">
        <v>0.27793813459033201</v>
      </c>
      <c r="K34" s="8">
        <f t="shared" si="1"/>
        <v>3.5880000000000002E-2</v>
      </c>
      <c r="L34" s="8">
        <f t="shared" si="2"/>
        <v>0.22306999999999999</v>
      </c>
      <c r="M34" s="8">
        <f t="shared" si="3"/>
        <v>0.11323350253807107</v>
      </c>
      <c r="N34" s="4">
        <f t="shared" si="7"/>
        <v>26</v>
      </c>
      <c r="O34" s="4">
        <f t="shared" si="4"/>
        <v>25</v>
      </c>
      <c r="P34" s="4">
        <f t="shared" si="5"/>
        <v>35</v>
      </c>
      <c r="Q34" s="4">
        <f t="shared" si="6"/>
        <v>31</v>
      </c>
    </row>
    <row r="35" spans="1:17" x14ac:dyDescent="0.3">
      <c r="A35" s="9" t="s">
        <v>28</v>
      </c>
      <c r="B35" s="10" t="s">
        <v>68</v>
      </c>
      <c r="C35" s="10" t="s">
        <v>24</v>
      </c>
      <c r="D35" s="10" t="s">
        <v>20</v>
      </c>
      <c r="E35" s="10" t="s">
        <v>71</v>
      </c>
      <c r="F35" s="5">
        <v>0.42</v>
      </c>
      <c r="G35" s="5" t="e">
        <f>F35/#REF!</f>
        <v>#REF!</v>
      </c>
      <c r="H35" s="5">
        <f t="shared" si="0"/>
        <v>1.9699999999999998</v>
      </c>
      <c r="I35" s="6">
        <f>0.4/100</f>
        <v>4.0000000000000001E-3</v>
      </c>
      <c r="J35" s="11">
        <v>0.40116279069767402</v>
      </c>
      <c r="K35" s="8">
        <f t="shared" si="1"/>
        <v>1.6800000000000001E-3</v>
      </c>
      <c r="L35" s="8">
        <f t="shared" si="2"/>
        <v>0.22306999999999999</v>
      </c>
      <c r="M35" s="8">
        <f t="shared" si="3"/>
        <v>0.11323350253807107</v>
      </c>
      <c r="N35" s="4">
        <f t="shared" si="7"/>
        <v>52</v>
      </c>
      <c r="O35" s="4">
        <f t="shared" si="4"/>
        <v>49</v>
      </c>
      <c r="P35" s="4">
        <f t="shared" si="5"/>
        <v>35</v>
      </c>
      <c r="Q35" s="4">
        <f t="shared" si="6"/>
        <v>31</v>
      </c>
    </row>
    <row r="36" spans="1:17" x14ac:dyDescent="0.3">
      <c r="A36" s="3" t="s">
        <v>28</v>
      </c>
      <c r="B36" s="4" t="s">
        <v>68</v>
      </c>
      <c r="C36" s="4" t="s">
        <v>26</v>
      </c>
      <c r="D36" s="4" t="s">
        <v>20</v>
      </c>
      <c r="E36" s="4" t="s">
        <v>72</v>
      </c>
      <c r="F36" s="5">
        <v>0.39</v>
      </c>
      <c r="G36" s="5" t="e">
        <f>F36/#REF!</f>
        <v>#REF!</v>
      </c>
      <c r="H36" s="5">
        <f t="shared" si="0"/>
        <v>1.9699999999999998</v>
      </c>
      <c r="I36" s="6">
        <f>0.9/100</f>
        <v>9.0000000000000011E-3</v>
      </c>
      <c r="J36" s="7">
        <v>0.41214544070055198</v>
      </c>
      <c r="K36" s="8">
        <f t="shared" si="1"/>
        <v>3.5100000000000005E-3</v>
      </c>
      <c r="L36" s="8">
        <f t="shared" si="2"/>
        <v>0.22306999999999999</v>
      </c>
      <c r="M36" s="8">
        <f t="shared" si="3"/>
        <v>0.11323350253807107</v>
      </c>
      <c r="N36" s="4">
        <f t="shared" si="7"/>
        <v>47</v>
      </c>
      <c r="O36" s="4">
        <f t="shared" si="4"/>
        <v>45</v>
      </c>
      <c r="P36" s="4">
        <f t="shared" si="5"/>
        <v>35</v>
      </c>
      <c r="Q36" s="4">
        <f t="shared" si="6"/>
        <v>31</v>
      </c>
    </row>
    <row r="37" spans="1:17" x14ac:dyDescent="0.3">
      <c r="A37" s="9" t="s">
        <v>34</v>
      </c>
      <c r="B37" s="10" t="s">
        <v>73</v>
      </c>
      <c r="C37" s="10" t="s">
        <v>19</v>
      </c>
      <c r="D37" s="10" t="s">
        <v>20</v>
      </c>
      <c r="E37" s="12" t="s">
        <v>74</v>
      </c>
      <c r="F37" s="5">
        <v>0.39</v>
      </c>
      <c r="G37" s="5" t="e">
        <f>F37/#REF!</f>
        <v>#REF!</v>
      </c>
      <c r="H37" s="5">
        <f t="shared" si="0"/>
        <v>1.29</v>
      </c>
      <c r="I37" s="6">
        <f>9/100</f>
        <v>0.09</v>
      </c>
      <c r="J37" s="11">
        <v>0.16331999999999999</v>
      </c>
      <c r="K37" s="8">
        <f t="shared" si="1"/>
        <v>3.5099999999999999E-2</v>
      </c>
      <c r="L37" s="8">
        <f t="shared" si="2"/>
        <v>5.1529999999999999E-2</v>
      </c>
      <c r="M37" s="8">
        <f t="shared" si="3"/>
        <v>3.9945736434108522E-2</v>
      </c>
      <c r="N37" s="4">
        <f t="shared" si="7"/>
        <v>24</v>
      </c>
      <c r="O37" s="4">
        <f t="shared" si="4"/>
        <v>26</v>
      </c>
      <c r="P37" s="4">
        <f t="shared" si="5"/>
        <v>54</v>
      </c>
      <c r="Q37" s="4">
        <f t="shared" si="6"/>
        <v>54</v>
      </c>
    </row>
    <row r="38" spans="1:17" x14ac:dyDescent="0.3">
      <c r="A38" s="3" t="s">
        <v>34</v>
      </c>
      <c r="B38" s="4" t="s">
        <v>73</v>
      </c>
      <c r="C38" s="4" t="s">
        <v>22</v>
      </c>
      <c r="D38" s="4" t="s">
        <v>20</v>
      </c>
      <c r="E38" s="13" t="s">
        <v>75</v>
      </c>
      <c r="F38" s="5">
        <v>0.28999999999999998</v>
      </c>
      <c r="G38" s="5" t="e">
        <f>F38/#REF!</f>
        <v>#REF!</v>
      </c>
      <c r="H38" s="5">
        <f t="shared" si="0"/>
        <v>1.29</v>
      </c>
      <c r="I38" s="6">
        <f>1.6/100</f>
        <v>1.6E-2</v>
      </c>
      <c r="J38" s="7">
        <v>0.29907</v>
      </c>
      <c r="K38" s="8">
        <f t="shared" si="1"/>
        <v>4.64E-3</v>
      </c>
      <c r="L38" s="8">
        <f t="shared" si="2"/>
        <v>5.1529999999999999E-2</v>
      </c>
      <c r="M38" s="8">
        <f t="shared" si="3"/>
        <v>3.9945736434108522E-2</v>
      </c>
      <c r="N38" s="4">
        <f t="shared" si="7"/>
        <v>43</v>
      </c>
      <c r="O38" s="4">
        <f t="shared" si="4"/>
        <v>43</v>
      </c>
      <c r="P38" s="4">
        <f t="shared" si="5"/>
        <v>54</v>
      </c>
      <c r="Q38" s="4">
        <f t="shared" si="6"/>
        <v>54</v>
      </c>
    </row>
    <row r="39" spans="1:17" x14ac:dyDescent="0.3">
      <c r="A39" s="9" t="s">
        <v>34</v>
      </c>
      <c r="B39" s="10" t="s">
        <v>73</v>
      </c>
      <c r="C39" s="10" t="s">
        <v>24</v>
      </c>
      <c r="D39" s="10" t="s">
        <v>20</v>
      </c>
      <c r="E39" s="12" t="s">
        <v>76</v>
      </c>
      <c r="F39" s="5">
        <v>0.28000000000000003</v>
      </c>
      <c r="G39" s="5" t="e">
        <f>F39/#REF!</f>
        <v>#REF!</v>
      </c>
      <c r="H39" s="5">
        <f t="shared" si="0"/>
        <v>1.29</v>
      </c>
      <c r="I39" s="6">
        <f>1.5/100</f>
        <v>1.4999999999999999E-2</v>
      </c>
      <c r="J39" s="11">
        <v>0.31447000000000003</v>
      </c>
      <c r="K39" s="8">
        <f t="shared" si="1"/>
        <v>4.2000000000000006E-3</v>
      </c>
      <c r="L39" s="8">
        <f t="shared" si="2"/>
        <v>5.1529999999999999E-2</v>
      </c>
      <c r="M39" s="8">
        <f t="shared" si="3"/>
        <v>3.9945736434108522E-2</v>
      </c>
      <c r="N39" s="4">
        <f t="shared" si="7"/>
        <v>44</v>
      </c>
      <c r="O39" s="4">
        <f t="shared" si="4"/>
        <v>44</v>
      </c>
      <c r="P39" s="4">
        <f t="shared" si="5"/>
        <v>54</v>
      </c>
      <c r="Q39" s="4">
        <f t="shared" si="6"/>
        <v>54</v>
      </c>
    </row>
    <row r="40" spans="1:17" x14ac:dyDescent="0.3">
      <c r="A40" s="3" t="s">
        <v>34</v>
      </c>
      <c r="B40" s="4" t="s">
        <v>73</v>
      </c>
      <c r="C40" s="4" t="s">
        <v>26</v>
      </c>
      <c r="D40" s="4" t="s">
        <v>20</v>
      </c>
      <c r="E40" s="13" t="s">
        <v>77</v>
      </c>
      <c r="F40" s="5">
        <v>0.33</v>
      </c>
      <c r="G40" s="5" t="e">
        <f>F40/#REF!</f>
        <v>#REF!</v>
      </c>
      <c r="H40" s="5">
        <f t="shared" si="0"/>
        <v>1.29</v>
      </c>
      <c r="I40" s="6">
        <f>2.3/100</f>
        <v>2.3E-2</v>
      </c>
      <c r="J40" s="7">
        <v>0.16134999999999999</v>
      </c>
      <c r="K40" s="8">
        <f t="shared" si="1"/>
        <v>7.5900000000000004E-3</v>
      </c>
      <c r="L40" s="8">
        <f t="shared" si="2"/>
        <v>5.1529999999999999E-2</v>
      </c>
      <c r="M40" s="8">
        <f t="shared" si="3"/>
        <v>3.9945736434108522E-2</v>
      </c>
      <c r="N40" s="4">
        <f t="shared" si="7"/>
        <v>38</v>
      </c>
      <c r="O40" s="4">
        <f t="shared" si="4"/>
        <v>42</v>
      </c>
      <c r="P40" s="4">
        <f t="shared" si="5"/>
        <v>54</v>
      </c>
      <c r="Q40" s="4">
        <f t="shared" si="6"/>
        <v>54</v>
      </c>
    </row>
    <row r="41" spans="1:17" x14ac:dyDescent="0.3">
      <c r="A41" s="9" t="s">
        <v>45</v>
      </c>
      <c r="B41" s="10" t="s">
        <v>78</v>
      </c>
      <c r="C41" s="10" t="s">
        <v>19</v>
      </c>
      <c r="D41" s="10" t="s">
        <v>20</v>
      </c>
      <c r="E41" s="10" t="s">
        <v>79</v>
      </c>
      <c r="F41" s="5">
        <v>1.19</v>
      </c>
      <c r="G41" s="5" t="e">
        <f>F41/#REF!</f>
        <v>#REF!</v>
      </c>
      <c r="H41" s="5">
        <f t="shared" si="0"/>
        <v>2.59</v>
      </c>
      <c r="I41" s="6">
        <f>54.3/100</f>
        <v>0.54299999999999993</v>
      </c>
      <c r="J41" s="11">
        <v>0.422604389403262</v>
      </c>
      <c r="K41" s="8">
        <f t="shared" si="1"/>
        <v>0.64616999999999991</v>
      </c>
      <c r="L41" s="8">
        <f t="shared" si="2"/>
        <v>1.0446299999999999</v>
      </c>
      <c r="M41" s="8">
        <f t="shared" si="3"/>
        <v>0.40333204633204633</v>
      </c>
      <c r="N41" s="4">
        <f t="shared" si="7"/>
        <v>3</v>
      </c>
      <c r="O41" s="4">
        <f t="shared" si="4"/>
        <v>2</v>
      </c>
      <c r="P41" s="4">
        <f t="shared" si="5"/>
        <v>5</v>
      </c>
      <c r="Q41" s="4">
        <f t="shared" si="6"/>
        <v>5</v>
      </c>
    </row>
    <row r="42" spans="1:17" x14ac:dyDescent="0.3">
      <c r="A42" s="3" t="s">
        <v>45</v>
      </c>
      <c r="B42" s="4" t="s">
        <v>78</v>
      </c>
      <c r="C42" s="4" t="s">
        <v>22</v>
      </c>
      <c r="D42" s="4" t="s">
        <v>20</v>
      </c>
      <c r="E42" s="4" t="s">
        <v>80</v>
      </c>
      <c r="F42" s="5">
        <v>0.48</v>
      </c>
      <c r="G42" s="5" t="e">
        <f>F42/#REF!</f>
        <v>#REF!</v>
      </c>
      <c r="H42" s="5">
        <f t="shared" si="0"/>
        <v>2.59</v>
      </c>
      <c r="I42" s="6">
        <f>32.7/100</f>
        <v>0.32700000000000001</v>
      </c>
      <c r="J42" s="7">
        <v>0.54388834444064904</v>
      </c>
      <c r="K42" s="8">
        <f t="shared" si="1"/>
        <v>0.15695999999999999</v>
      </c>
      <c r="L42" s="8">
        <f t="shared" si="2"/>
        <v>1.0446299999999999</v>
      </c>
      <c r="M42" s="8">
        <f t="shared" si="3"/>
        <v>0.40333204633204633</v>
      </c>
      <c r="N42" s="4">
        <f t="shared" si="7"/>
        <v>10</v>
      </c>
      <c r="O42" s="4">
        <f t="shared" si="4"/>
        <v>13</v>
      </c>
      <c r="P42" s="4">
        <f t="shared" si="5"/>
        <v>5</v>
      </c>
      <c r="Q42" s="4">
        <f t="shared" si="6"/>
        <v>5</v>
      </c>
    </row>
    <row r="43" spans="1:17" x14ac:dyDescent="0.3">
      <c r="A43" s="9" t="s">
        <v>45</v>
      </c>
      <c r="B43" s="10" t="s">
        <v>78</v>
      </c>
      <c r="C43" s="10" t="s">
        <v>24</v>
      </c>
      <c r="D43" s="10" t="s">
        <v>20</v>
      </c>
      <c r="E43" s="10" t="s">
        <v>81</v>
      </c>
      <c r="F43" s="5">
        <v>0.57999999999999996</v>
      </c>
      <c r="G43" s="5" t="e">
        <f>F43/#REF!</f>
        <v>#REF!</v>
      </c>
      <c r="H43" s="5">
        <f t="shared" si="0"/>
        <v>2.59</v>
      </c>
      <c r="I43" s="6">
        <f>32.2/100</f>
        <v>0.32200000000000001</v>
      </c>
      <c r="J43" s="11">
        <v>0.53694221787021701</v>
      </c>
      <c r="K43" s="8">
        <f t="shared" si="1"/>
        <v>0.18675999999999998</v>
      </c>
      <c r="L43" s="8">
        <f t="shared" si="2"/>
        <v>1.0446299999999999</v>
      </c>
      <c r="M43" s="8">
        <f t="shared" si="3"/>
        <v>0.40333204633204633</v>
      </c>
      <c r="N43" s="4">
        <f t="shared" si="7"/>
        <v>11</v>
      </c>
      <c r="O43" s="4">
        <f t="shared" si="4"/>
        <v>11</v>
      </c>
      <c r="P43" s="4">
        <f t="shared" si="5"/>
        <v>5</v>
      </c>
      <c r="Q43" s="4">
        <f t="shared" si="6"/>
        <v>5</v>
      </c>
    </row>
    <row r="44" spans="1:17" x14ac:dyDescent="0.3">
      <c r="A44" s="3" t="s">
        <v>45</v>
      </c>
      <c r="B44" s="4" t="s">
        <v>78</v>
      </c>
      <c r="C44" s="4" t="s">
        <v>26</v>
      </c>
      <c r="D44" s="4" t="s">
        <v>20</v>
      </c>
      <c r="E44" s="4" t="s">
        <v>82</v>
      </c>
      <c r="F44" s="5">
        <v>0.34</v>
      </c>
      <c r="G44" s="5" t="e">
        <f>F44/#REF!</f>
        <v>#REF!</v>
      </c>
      <c r="H44" s="5">
        <f t="shared" si="0"/>
        <v>2.59</v>
      </c>
      <c r="I44" s="6">
        <f>16.1/100</f>
        <v>0.161</v>
      </c>
      <c r="J44" s="7">
        <v>0.63896602281921699</v>
      </c>
      <c r="K44" s="8">
        <f t="shared" si="1"/>
        <v>5.4740000000000004E-2</v>
      </c>
      <c r="L44" s="8">
        <f t="shared" si="2"/>
        <v>1.0446299999999999</v>
      </c>
      <c r="M44" s="8">
        <f t="shared" si="3"/>
        <v>0.40333204633204633</v>
      </c>
      <c r="N44" s="4">
        <f t="shared" si="7"/>
        <v>18</v>
      </c>
      <c r="O44" s="4">
        <f t="shared" si="4"/>
        <v>21</v>
      </c>
      <c r="P44" s="4">
        <f t="shared" si="5"/>
        <v>5</v>
      </c>
      <c r="Q44" s="4">
        <f t="shared" si="6"/>
        <v>5</v>
      </c>
    </row>
    <row r="45" spans="1:17" x14ac:dyDescent="0.3">
      <c r="A45" s="9" t="s">
        <v>28</v>
      </c>
      <c r="B45" s="10" t="s">
        <v>83</v>
      </c>
      <c r="C45" s="10" t="s">
        <v>19</v>
      </c>
      <c r="D45" s="10" t="s">
        <v>20</v>
      </c>
      <c r="E45" s="12" t="s">
        <v>84</v>
      </c>
      <c r="F45" s="5">
        <v>0.52</v>
      </c>
      <c r="G45" s="5" t="e">
        <f>F45/#REF!</f>
        <v>#REF!</v>
      </c>
      <c r="H45" s="5">
        <f t="shared" si="0"/>
        <v>1.22</v>
      </c>
      <c r="I45" s="6">
        <f>26.6/100</f>
        <v>0.26600000000000001</v>
      </c>
      <c r="J45" s="11">
        <v>0.48787000000000003</v>
      </c>
      <c r="K45" s="8">
        <f t="shared" si="1"/>
        <v>0.13832</v>
      </c>
      <c r="L45" s="8">
        <f t="shared" si="2"/>
        <v>0.14251999999999998</v>
      </c>
      <c r="M45" s="8">
        <f t="shared" si="3"/>
        <v>0.11681967213114752</v>
      </c>
      <c r="N45" s="4">
        <f t="shared" si="7"/>
        <v>14</v>
      </c>
      <c r="O45" s="4">
        <f t="shared" si="4"/>
        <v>15</v>
      </c>
      <c r="P45" s="4">
        <f t="shared" si="5"/>
        <v>31</v>
      </c>
      <c r="Q45" s="4">
        <f t="shared" si="6"/>
        <v>35</v>
      </c>
    </row>
    <row r="46" spans="1:17" x14ac:dyDescent="0.3">
      <c r="A46" s="3" t="s">
        <v>28</v>
      </c>
      <c r="B46" s="4" t="s">
        <v>83</v>
      </c>
      <c r="C46" s="4" t="s">
        <v>22</v>
      </c>
      <c r="D46" s="4" t="s">
        <v>20</v>
      </c>
      <c r="E46" s="13" t="s">
        <v>85</v>
      </c>
      <c r="F46" s="5">
        <v>0.24</v>
      </c>
      <c r="G46" s="5" t="e">
        <f>F46/#REF!</f>
        <v>#REF!</v>
      </c>
      <c r="H46" s="5">
        <f t="shared" si="0"/>
        <v>1.22</v>
      </c>
      <c r="I46" s="6">
        <f>0.6/100</f>
        <v>6.0000000000000001E-3</v>
      </c>
      <c r="J46" s="7">
        <v>6.037E-2</v>
      </c>
      <c r="K46" s="8">
        <f t="shared" si="1"/>
        <v>1.4399999999999999E-3</v>
      </c>
      <c r="L46" s="8">
        <f t="shared" si="2"/>
        <v>0.14251999999999998</v>
      </c>
      <c r="M46" s="8">
        <f t="shared" si="3"/>
        <v>0.11681967213114752</v>
      </c>
      <c r="N46" s="4">
        <f t="shared" si="7"/>
        <v>48</v>
      </c>
      <c r="O46" s="4">
        <f t="shared" si="4"/>
        <v>50</v>
      </c>
      <c r="P46" s="4">
        <f t="shared" si="5"/>
        <v>31</v>
      </c>
      <c r="Q46" s="4">
        <f t="shared" si="6"/>
        <v>35</v>
      </c>
    </row>
    <row r="47" spans="1:17" x14ac:dyDescent="0.3">
      <c r="A47" s="9" t="s">
        <v>28</v>
      </c>
      <c r="B47" s="10" t="s">
        <v>83</v>
      </c>
      <c r="C47" s="10" t="s">
        <v>24</v>
      </c>
      <c r="D47" s="10" t="s">
        <v>20</v>
      </c>
      <c r="E47" s="12" t="s">
        <v>86</v>
      </c>
      <c r="F47" s="5">
        <v>0.23</v>
      </c>
      <c r="G47" s="5" t="e">
        <f>F47/#REF!</f>
        <v>#REF!</v>
      </c>
      <c r="H47" s="5">
        <f t="shared" si="0"/>
        <v>1.22</v>
      </c>
      <c r="I47" s="6">
        <f>0.6/100</f>
        <v>6.0000000000000001E-3</v>
      </c>
      <c r="J47" s="11">
        <v>0</v>
      </c>
      <c r="K47" s="8">
        <f t="shared" si="1"/>
        <v>1.3800000000000002E-3</v>
      </c>
      <c r="L47" s="8">
        <f t="shared" si="2"/>
        <v>0.14251999999999998</v>
      </c>
      <c r="M47" s="8">
        <f t="shared" si="3"/>
        <v>0.11681967213114752</v>
      </c>
      <c r="N47" s="4">
        <f t="shared" si="7"/>
        <v>48</v>
      </c>
      <c r="O47" s="4">
        <f t="shared" si="4"/>
        <v>52</v>
      </c>
      <c r="P47" s="4">
        <f t="shared" si="5"/>
        <v>31</v>
      </c>
      <c r="Q47" s="4">
        <f t="shared" si="6"/>
        <v>35</v>
      </c>
    </row>
    <row r="48" spans="1:17" x14ac:dyDescent="0.3">
      <c r="A48" s="3" t="s">
        <v>28</v>
      </c>
      <c r="B48" s="4" t="s">
        <v>83</v>
      </c>
      <c r="C48" s="4" t="s">
        <v>26</v>
      </c>
      <c r="D48" s="4" t="s">
        <v>20</v>
      </c>
      <c r="E48" s="13" t="s">
        <v>87</v>
      </c>
      <c r="F48" s="5">
        <v>0.23</v>
      </c>
      <c r="G48" s="5" t="e">
        <f>F48/#REF!</f>
        <v>#REF!</v>
      </c>
      <c r="H48" s="5">
        <f t="shared" si="0"/>
        <v>1.22</v>
      </c>
      <c r="I48" s="6">
        <f>0.6/100</f>
        <v>6.0000000000000001E-3</v>
      </c>
      <c r="J48" s="7">
        <v>0</v>
      </c>
      <c r="K48" s="8">
        <f t="shared" si="1"/>
        <v>1.3800000000000002E-3</v>
      </c>
      <c r="L48" s="8">
        <f t="shared" si="2"/>
        <v>0.14251999999999998</v>
      </c>
      <c r="M48" s="8">
        <f t="shared" si="3"/>
        <v>0.11681967213114752</v>
      </c>
      <c r="N48" s="4">
        <f t="shared" si="7"/>
        <v>48</v>
      </c>
      <c r="O48" s="4">
        <f t="shared" si="4"/>
        <v>52</v>
      </c>
      <c r="P48" s="4">
        <f t="shared" si="5"/>
        <v>31</v>
      </c>
      <c r="Q48" s="4">
        <f t="shared" si="6"/>
        <v>35</v>
      </c>
    </row>
    <row r="49" spans="1:17" x14ac:dyDescent="0.3">
      <c r="A49" s="9" t="s">
        <v>17</v>
      </c>
      <c r="B49" s="10" t="s">
        <v>88</v>
      </c>
      <c r="C49" s="10" t="s">
        <v>19</v>
      </c>
      <c r="D49" s="10" t="s">
        <v>36</v>
      </c>
      <c r="E49" s="10" t="s">
        <v>89</v>
      </c>
      <c r="F49" s="5">
        <v>0.68</v>
      </c>
      <c r="G49" s="5" t="e">
        <f>F49/#REF!</f>
        <v>#REF!</v>
      </c>
      <c r="H49" s="5">
        <f t="shared" si="0"/>
        <v>1.1499999999999999</v>
      </c>
      <c r="I49" s="6">
        <f>44.4/100</f>
        <v>0.44400000000000001</v>
      </c>
      <c r="J49" s="11">
        <v>4.58560420973501E-2</v>
      </c>
      <c r="K49" s="8">
        <f t="shared" si="1"/>
        <v>0.30192000000000002</v>
      </c>
      <c r="L49" s="8">
        <f t="shared" si="2"/>
        <v>0.32442000000000004</v>
      </c>
      <c r="M49" s="8">
        <f t="shared" si="3"/>
        <v>0.28210434782608701</v>
      </c>
      <c r="N49" s="4">
        <f t="shared" si="7"/>
        <v>7</v>
      </c>
      <c r="O49" s="4">
        <f t="shared" si="4"/>
        <v>10</v>
      </c>
      <c r="P49" s="4">
        <f t="shared" si="5"/>
        <v>16</v>
      </c>
      <c r="Q49" s="4">
        <f t="shared" si="6"/>
        <v>28</v>
      </c>
    </row>
    <row r="50" spans="1:17" x14ac:dyDescent="0.3">
      <c r="A50" s="3" t="s">
        <v>17</v>
      </c>
      <c r="B50" s="4" t="s">
        <v>88</v>
      </c>
      <c r="C50" s="4" t="s">
        <v>22</v>
      </c>
      <c r="D50" s="4" t="s">
        <v>36</v>
      </c>
      <c r="E50" s="4" t="s">
        <v>90</v>
      </c>
      <c r="F50" s="5">
        <v>0.21</v>
      </c>
      <c r="G50" s="5" t="e">
        <f>F50/#REF!</f>
        <v>#REF!</v>
      </c>
      <c r="H50" s="5">
        <f t="shared" si="0"/>
        <v>1.1499999999999999</v>
      </c>
      <c r="I50" s="6">
        <f>4.4/100</f>
        <v>4.4000000000000004E-2</v>
      </c>
      <c r="J50" s="7">
        <v>4.4595338594237498E-2</v>
      </c>
      <c r="K50" s="8">
        <f t="shared" si="1"/>
        <v>9.2399999999999999E-3</v>
      </c>
      <c r="L50" s="8">
        <f t="shared" si="2"/>
        <v>0.32442000000000004</v>
      </c>
      <c r="M50" s="8">
        <f t="shared" si="3"/>
        <v>0.28210434782608701</v>
      </c>
      <c r="N50" s="4">
        <f t="shared" si="7"/>
        <v>34</v>
      </c>
      <c r="O50" s="4">
        <f t="shared" si="4"/>
        <v>36</v>
      </c>
      <c r="P50" s="4">
        <f t="shared" si="5"/>
        <v>16</v>
      </c>
      <c r="Q50" s="4">
        <f t="shared" si="6"/>
        <v>28</v>
      </c>
    </row>
    <row r="51" spans="1:17" x14ac:dyDescent="0.3">
      <c r="A51" s="9" t="s">
        <v>17</v>
      </c>
      <c r="B51" s="10" t="s">
        <v>88</v>
      </c>
      <c r="C51" s="10" t="s">
        <v>24</v>
      </c>
      <c r="D51" s="10" t="s">
        <v>36</v>
      </c>
      <c r="E51" s="10" t="s">
        <v>91</v>
      </c>
      <c r="F51" s="5">
        <v>0.26</v>
      </c>
      <c r="G51" s="5" t="e">
        <f>F51/#REF!</f>
        <v>#REF!</v>
      </c>
      <c r="H51" s="5">
        <f t="shared" si="0"/>
        <v>1.1499999999999999</v>
      </c>
      <c r="I51" s="6">
        <f>5.1/100</f>
        <v>5.0999999999999997E-2</v>
      </c>
      <c r="J51" s="11">
        <v>4.3760129659643397E-2</v>
      </c>
      <c r="K51" s="8">
        <f t="shared" si="1"/>
        <v>1.3259999999999999E-2</v>
      </c>
      <c r="L51" s="8">
        <f t="shared" si="2"/>
        <v>0.32442000000000004</v>
      </c>
      <c r="M51" s="8">
        <f t="shared" si="3"/>
        <v>0.28210434782608701</v>
      </c>
      <c r="N51" s="4">
        <f t="shared" si="7"/>
        <v>31</v>
      </c>
      <c r="O51" s="4">
        <f t="shared" si="4"/>
        <v>35</v>
      </c>
      <c r="P51" s="4">
        <f t="shared" si="5"/>
        <v>16</v>
      </c>
      <c r="Q51" s="4">
        <f t="shared" si="6"/>
        <v>28</v>
      </c>
    </row>
    <row r="52" spans="1:17" x14ac:dyDescent="0.3">
      <c r="A52" s="3" t="s">
        <v>92</v>
      </c>
      <c r="B52" s="4" t="s">
        <v>93</v>
      </c>
      <c r="C52" s="4" t="s">
        <v>19</v>
      </c>
      <c r="D52" s="4" t="s">
        <v>20</v>
      </c>
      <c r="E52" s="4" t="s">
        <v>94</v>
      </c>
      <c r="F52" s="5">
        <v>0.42</v>
      </c>
      <c r="G52" s="5" t="e">
        <f>F52/#REF!</f>
        <v>#REF!</v>
      </c>
      <c r="H52" s="5">
        <f t="shared" si="0"/>
        <v>1.9899999999999998</v>
      </c>
      <c r="I52" s="6">
        <f>2/100</f>
        <v>0.02</v>
      </c>
      <c r="J52" s="7">
        <v>7.3558347207507202E-2</v>
      </c>
      <c r="K52" s="8">
        <f t="shared" si="1"/>
        <v>8.3999999999999995E-3</v>
      </c>
      <c r="L52" s="8">
        <f t="shared" si="2"/>
        <v>0.10082000000000001</v>
      </c>
      <c r="M52" s="8">
        <f t="shared" si="3"/>
        <v>5.0663316582914585E-2</v>
      </c>
      <c r="N52" s="4">
        <f t="shared" si="7"/>
        <v>40</v>
      </c>
      <c r="O52" s="4">
        <f t="shared" si="4"/>
        <v>39</v>
      </c>
      <c r="P52" s="4">
        <f t="shared" si="5"/>
        <v>43</v>
      </c>
      <c r="Q52" s="4">
        <f t="shared" si="6"/>
        <v>39</v>
      </c>
    </row>
    <row r="53" spans="1:17" x14ac:dyDescent="0.3">
      <c r="A53" s="9" t="s">
        <v>92</v>
      </c>
      <c r="B53" s="10" t="s">
        <v>93</v>
      </c>
      <c r="C53" s="10" t="s">
        <v>22</v>
      </c>
      <c r="D53" s="10" t="s">
        <v>20</v>
      </c>
      <c r="E53" s="10" t="s">
        <v>95</v>
      </c>
      <c r="F53" s="5">
        <v>0.49</v>
      </c>
      <c r="G53" s="5" t="e">
        <f>F53/#REF!</f>
        <v>#REF!</v>
      </c>
      <c r="H53" s="5">
        <f t="shared" si="0"/>
        <v>1.9899999999999998</v>
      </c>
      <c r="I53" s="6">
        <f>1.8/100</f>
        <v>1.8000000000000002E-2</v>
      </c>
      <c r="J53" s="11">
        <v>8.8001378542456501E-2</v>
      </c>
      <c r="K53" s="8">
        <f t="shared" si="1"/>
        <v>8.8200000000000014E-3</v>
      </c>
      <c r="L53" s="8">
        <f t="shared" si="2"/>
        <v>0.10082000000000001</v>
      </c>
      <c r="M53" s="8">
        <f t="shared" si="3"/>
        <v>5.0663316582914585E-2</v>
      </c>
      <c r="N53" s="4">
        <f t="shared" si="7"/>
        <v>42</v>
      </c>
      <c r="O53" s="4">
        <f t="shared" si="4"/>
        <v>37</v>
      </c>
      <c r="P53" s="4">
        <f t="shared" si="5"/>
        <v>43</v>
      </c>
      <c r="Q53" s="4">
        <f t="shared" si="6"/>
        <v>39</v>
      </c>
    </row>
    <row r="54" spans="1:17" x14ac:dyDescent="0.3">
      <c r="A54" s="3" t="s">
        <v>92</v>
      </c>
      <c r="B54" s="4" t="s">
        <v>93</v>
      </c>
      <c r="C54" s="4" t="s">
        <v>24</v>
      </c>
      <c r="D54" s="4" t="s">
        <v>20</v>
      </c>
      <c r="E54" s="4" t="s">
        <v>96</v>
      </c>
      <c r="F54" s="5">
        <v>0.68</v>
      </c>
      <c r="G54" s="5" t="e">
        <f>F54/#REF!</f>
        <v>#REF!</v>
      </c>
      <c r="H54" s="5">
        <f t="shared" si="0"/>
        <v>1.9899999999999998</v>
      </c>
      <c r="I54" s="6">
        <f>12/100</f>
        <v>0.12</v>
      </c>
      <c r="J54" s="7">
        <v>0.38068845548275698</v>
      </c>
      <c r="K54" s="8">
        <f t="shared" si="1"/>
        <v>8.1600000000000006E-2</v>
      </c>
      <c r="L54" s="8">
        <f t="shared" si="2"/>
        <v>0.10082000000000001</v>
      </c>
      <c r="M54" s="8">
        <f t="shared" si="3"/>
        <v>5.0663316582914585E-2</v>
      </c>
      <c r="N54" s="4">
        <f t="shared" si="7"/>
        <v>21</v>
      </c>
      <c r="O54" s="4">
        <f t="shared" si="4"/>
        <v>17</v>
      </c>
      <c r="P54" s="4">
        <f t="shared" si="5"/>
        <v>43</v>
      </c>
      <c r="Q54" s="4">
        <f t="shared" si="6"/>
        <v>39</v>
      </c>
    </row>
    <row r="55" spans="1:17" x14ac:dyDescent="0.3">
      <c r="A55" s="9" t="s">
        <v>92</v>
      </c>
      <c r="B55" s="10" t="s">
        <v>93</v>
      </c>
      <c r="C55" s="10" t="s">
        <v>26</v>
      </c>
      <c r="D55" s="10" t="s">
        <v>20</v>
      </c>
      <c r="E55" s="10" t="s">
        <v>97</v>
      </c>
      <c r="F55" s="5">
        <v>0.4</v>
      </c>
      <c r="G55" s="5" t="e">
        <f>F55/#REF!</f>
        <v>#REF!</v>
      </c>
      <c r="H55" s="5">
        <f t="shared" si="0"/>
        <v>1.9899999999999998</v>
      </c>
      <c r="I55" s="6">
        <f>0.5/100</f>
        <v>5.0000000000000001E-3</v>
      </c>
      <c r="J55" s="11">
        <v>8.6013802325859104E-2</v>
      </c>
      <c r="K55" s="8">
        <f t="shared" si="1"/>
        <v>2E-3</v>
      </c>
      <c r="L55" s="8">
        <f t="shared" si="2"/>
        <v>0.10082000000000001</v>
      </c>
      <c r="M55" s="8">
        <f t="shared" si="3"/>
        <v>5.0663316582914585E-2</v>
      </c>
      <c r="N55" s="4">
        <f t="shared" si="7"/>
        <v>51</v>
      </c>
      <c r="O55" s="4">
        <f t="shared" si="4"/>
        <v>47</v>
      </c>
      <c r="P55" s="4">
        <f t="shared" si="5"/>
        <v>43</v>
      </c>
      <c r="Q55" s="4">
        <f t="shared" si="6"/>
        <v>39</v>
      </c>
    </row>
    <row r="56" spans="1:17" x14ac:dyDescent="0.3">
      <c r="A56" s="3" t="s">
        <v>28</v>
      </c>
      <c r="B56" s="4" t="s">
        <v>98</v>
      </c>
      <c r="C56" s="4" t="s">
        <v>19</v>
      </c>
      <c r="D56" s="4" t="s">
        <v>20</v>
      </c>
      <c r="E56" s="4" t="s">
        <v>99</v>
      </c>
      <c r="F56" s="5">
        <v>0.45</v>
      </c>
      <c r="G56" s="5" t="e">
        <f>F56/#REF!</f>
        <v>#REF!</v>
      </c>
      <c r="H56" s="5">
        <f t="shared" si="0"/>
        <v>2.0699999999999998</v>
      </c>
      <c r="I56" s="6">
        <f>32.9/100</f>
        <v>0.32899999999999996</v>
      </c>
      <c r="J56" s="7">
        <v>0.21254780484722999</v>
      </c>
      <c r="K56" s="8">
        <f t="shared" si="1"/>
        <v>0.14804999999999999</v>
      </c>
      <c r="L56" s="8">
        <f t="shared" si="2"/>
        <v>0.68559999999999999</v>
      </c>
      <c r="M56" s="8">
        <f t="shared" si="3"/>
        <v>0.33120772946859905</v>
      </c>
      <c r="N56" s="4">
        <f t="shared" si="7"/>
        <v>9</v>
      </c>
      <c r="O56" s="4">
        <f t="shared" si="4"/>
        <v>14</v>
      </c>
      <c r="P56" s="4">
        <f t="shared" si="5"/>
        <v>9</v>
      </c>
      <c r="Q56" s="4">
        <f t="shared" si="6"/>
        <v>9</v>
      </c>
    </row>
    <row r="57" spans="1:17" x14ac:dyDescent="0.3">
      <c r="A57" s="9" t="s">
        <v>28</v>
      </c>
      <c r="B57" s="10" t="s">
        <v>98</v>
      </c>
      <c r="C57" s="10" t="s">
        <v>22</v>
      </c>
      <c r="D57" s="10" t="s">
        <v>20</v>
      </c>
      <c r="E57" s="12" t="s">
        <v>100</v>
      </c>
      <c r="F57" s="5">
        <v>0.35</v>
      </c>
      <c r="G57" s="5" t="e">
        <f>F57/#REF!</f>
        <v>#REF!</v>
      </c>
      <c r="H57" s="5">
        <f t="shared" si="0"/>
        <v>2.0699999999999998</v>
      </c>
      <c r="I57" s="6">
        <f>11.9/100</f>
        <v>0.11900000000000001</v>
      </c>
      <c r="J57" s="11">
        <v>0</v>
      </c>
      <c r="K57" s="8">
        <f t="shared" si="1"/>
        <v>4.165E-2</v>
      </c>
      <c r="L57" s="8">
        <f t="shared" si="2"/>
        <v>0.68559999999999999</v>
      </c>
      <c r="M57" s="8">
        <f t="shared" si="3"/>
        <v>0.33120772946859905</v>
      </c>
      <c r="N57" s="4">
        <f t="shared" si="7"/>
        <v>22</v>
      </c>
      <c r="O57" s="4">
        <f t="shared" si="4"/>
        <v>23</v>
      </c>
      <c r="P57" s="4">
        <f t="shared" si="5"/>
        <v>9</v>
      </c>
      <c r="Q57" s="4">
        <f t="shared" si="6"/>
        <v>9</v>
      </c>
    </row>
    <row r="58" spans="1:17" x14ac:dyDescent="0.3">
      <c r="A58" s="3" t="s">
        <v>28</v>
      </c>
      <c r="B58" s="4" t="s">
        <v>98</v>
      </c>
      <c r="C58" s="4" t="s">
        <v>24</v>
      </c>
      <c r="D58" s="4" t="s">
        <v>20</v>
      </c>
      <c r="E58" s="4" t="s">
        <v>101</v>
      </c>
      <c r="F58" s="5">
        <v>0.95</v>
      </c>
      <c r="G58" s="5" t="e">
        <f>F58/#REF!</f>
        <v>#REF!</v>
      </c>
      <c r="H58" s="5">
        <f t="shared" si="0"/>
        <v>2.0699999999999998</v>
      </c>
      <c r="I58" s="6">
        <f>52.2/100</f>
        <v>0.52200000000000002</v>
      </c>
      <c r="J58" s="7">
        <v>1.75504721652264E-2</v>
      </c>
      <c r="K58" s="8">
        <f t="shared" si="1"/>
        <v>0.49590000000000001</v>
      </c>
      <c r="L58" s="8">
        <f t="shared" si="2"/>
        <v>0.68559999999999999</v>
      </c>
      <c r="M58" s="8">
        <f t="shared" si="3"/>
        <v>0.33120772946859905</v>
      </c>
      <c r="N58" s="4">
        <f t="shared" si="7"/>
        <v>4</v>
      </c>
      <c r="O58" s="4">
        <f t="shared" si="4"/>
        <v>4</v>
      </c>
      <c r="P58" s="4">
        <f t="shared" si="5"/>
        <v>9</v>
      </c>
      <c r="Q58" s="4">
        <f t="shared" si="6"/>
        <v>9</v>
      </c>
    </row>
    <row r="59" spans="1:17" x14ac:dyDescent="0.3">
      <c r="A59" s="9" t="s">
        <v>28</v>
      </c>
      <c r="B59" s="10" t="s">
        <v>98</v>
      </c>
      <c r="C59" s="10" t="s">
        <v>26</v>
      </c>
      <c r="D59" s="10" t="s">
        <v>20</v>
      </c>
      <c r="E59" s="10" t="s">
        <v>102</v>
      </c>
      <c r="F59" s="5">
        <v>0.32</v>
      </c>
      <c r="G59" s="5" t="e">
        <f>F59/#REF!</f>
        <v>#REF!</v>
      </c>
      <c r="H59" s="5">
        <f t="shared" si="0"/>
        <v>2.0699999999999998</v>
      </c>
      <c r="I59" s="6">
        <v>0</v>
      </c>
      <c r="J59" s="11">
        <v>1.2546051976501001E-2</v>
      </c>
      <c r="K59" s="8">
        <f t="shared" si="1"/>
        <v>0</v>
      </c>
      <c r="L59" s="8">
        <f t="shared" si="2"/>
        <v>0.68559999999999999</v>
      </c>
      <c r="M59" s="8">
        <f t="shared" si="3"/>
        <v>0.33120772946859905</v>
      </c>
      <c r="N59" s="4">
        <f t="shared" si="7"/>
        <v>60</v>
      </c>
      <c r="O59" s="4">
        <f t="shared" si="4"/>
        <v>60</v>
      </c>
      <c r="P59" s="4">
        <f t="shared" si="5"/>
        <v>9</v>
      </c>
      <c r="Q59" s="4">
        <f t="shared" si="6"/>
        <v>9</v>
      </c>
    </row>
    <row r="60" spans="1:17" x14ac:dyDescent="0.3">
      <c r="A60" s="3" t="s">
        <v>34</v>
      </c>
      <c r="B60" s="4" t="s">
        <v>103</v>
      </c>
      <c r="C60" s="4" t="s">
        <v>19</v>
      </c>
      <c r="D60" s="4" t="s">
        <v>36</v>
      </c>
      <c r="E60" s="14" t="s">
        <v>104</v>
      </c>
      <c r="F60" s="5">
        <v>0.68</v>
      </c>
      <c r="G60" s="5" t="e">
        <f>F60/#REF!</f>
        <v>#REF!</v>
      </c>
      <c r="H60" s="5">
        <f t="shared" si="0"/>
        <v>1.96</v>
      </c>
      <c r="I60" s="6">
        <f>8.8/100</f>
        <v>8.8000000000000009E-2</v>
      </c>
      <c r="J60" s="7"/>
      <c r="K60" s="8">
        <f t="shared" si="1"/>
        <v>5.9840000000000011E-2</v>
      </c>
      <c r="L60" s="8">
        <f t="shared" si="2"/>
        <v>0.61110999999999993</v>
      </c>
      <c r="M60" s="8">
        <f t="shared" si="3"/>
        <v>0.31179081632653061</v>
      </c>
      <c r="N60" s="4">
        <f t="shared" si="7"/>
        <v>25</v>
      </c>
      <c r="O60" s="4">
        <f t="shared" si="4"/>
        <v>20</v>
      </c>
      <c r="P60" s="4">
        <f t="shared" si="5"/>
        <v>13</v>
      </c>
      <c r="Q60" s="4">
        <f t="shared" si="6"/>
        <v>13</v>
      </c>
    </row>
    <row r="61" spans="1:17" x14ac:dyDescent="0.3">
      <c r="A61" s="9" t="s">
        <v>34</v>
      </c>
      <c r="B61" s="10" t="s">
        <v>103</v>
      </c>
      <c r="C61" s="10" t="s">
        <v>22</v>
      </c>
      <c r="D61" s="10" t="s">
        <v>36</v>
      </c>
      <c r="E61" s="15" t="s">
        <v>105</v>
      </c>
      <c r="F61" s="5">
        <v>0.97</v>
      </c>
      <c r="G61" s="5" t="e">
        <f>F61/#REF!</f>
        <v>#REF!</v>
      </c>
      <c r="H61" s="5">
        <f t="shared" si="0"/>
        <v>1.96</v>
      </c>
      <c r="I61" s="6">
        <f>56.8/100</f>
        <v>0.56799999999999995</v>
      </c>
      <c r="J61" s="11"/>
      <c r="K61" s="8">
        <f t="shared" si="1"/>
        <v>0.55095999999999989</v>
      </c>
      <c r="L61" s="8">
        <f t="shared" si="2"/>
        <v>0.61110999999999993</v>
      </c>
      <c r="M61" s="8">
        <f t="shared" si="3"/>
        <v>0.31179081632653061</v>
      </c>
      <c r="N61" s="4">
        <f t="shared" si="7"/>
        <v>2</v>
      </c>
      <c r="O61" s="4">
        <f t="shared" si="4"/>
        <v>3</v>
      </c>
      <c r="P61" s="4">
        <f t="shared" si="5"/>
        <v>13</v>
      </c>
      <c r="Q61" s="4">
        <f t="shared" si="6"/>
        <v>13</v>
      </c>
    </row>
    <row r="62" spans="1:17" x14ac:dyDescent="0.3">
      <c r="A62" s="3" t="s">
        <v>34</v>
      </c>
      <c r="B62" s="4" t="s">
        <v>103</v>
      </c>
      <c r="C62" s="4" t="s">
        <v>24</v>
      </c>
      <c r="D62" s="4" t="s">
        <v>36</v>
      </c>
      <c r="E62" s="14" t="s">
        <v>106</v>
      </c>
      <c r="F62" s="5">
        <v>0.31</v>
      </c>
      <c r="G62" s="5" t="e">
        <f>F62/#REF!</f>
        <v>#REF!</v>
      </c>
      <c r="H62" s="5">
        <f t="shared" si="0"/>
        <v>1.96</v>
      </c>
      <c r="I62" s="6">
        <f>0.1/100</f>
        <v>1E-3</v>
      </c>
      <c r="J62" s="7"/>
      <c r="K62" s="8">
        <f t="shared" si="1"/>
        <v>3.1E-4</v>
      </c>
      <c r="L62" s="8">
        <f t="shared" si="2"/>
        <v>0.61110999999999993</v>
      </c>
      <c r="M62" s="8">
        <f t="shared" si="3"/>
        <v>0.31179081632653061</v>
      </c>
      <c r="N62" s="4">
        <f t="shared" si="7"/>
        <v>58</v>
      </c>
      <c r="O62" s="4">
        <f t="shared" si="4"/>
        <v>59</v>
      </c>
      <c r="P62" s="4">
        <f t="shared" si="5"/>
        <v>13</v>
      </c>
      <c r="Q62" s="4">
        <f t="shared" si="6"/>
        <v>13</v>
      </c>
    </row>
    <row r="66" spans="4:7" x14ac:dyDescent="0.3">
      <c r="G66" s="16">
        <f>COUNTIF(G1:G63,"&lt;1")/61</f>
        <v>0</v>
      </c>
    </row>
    <row r="68" spans="4:7" x14ac:dyDescent="0.3">
      <c r="D68" s="17"/>
      <c r="E68" s="18"/>
    </row>
    <row r="69" spans="4:7" x14ac:dyDescent="0.3">
      <c r="D69" s="17"/>
      <c r="E69" s="18"/>
    </row>
    <row r="70" spans="4:7" x14ac:dyDescent="0.3">
      <c r="D70" s="17"/>
      <c r="E70" s="18"/>
    </row>
    <row r="71" spans="4:7" x14ac:dyDescent="0.3">
      <c r="D71" s="17"/>
      <c r="E71" s="18"/>
    </row>
  </sheetData>
  <autoFilter ref="A1:Q62" xr:uid="{CD85990F-4CE2-40AD-8EA1-D13244BA404D}"/>
  <conditionalFormatting sqref="F2:F6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62">
    <cfRule type="cellIs" dxfId="0" priority="5" operator="greaterThan">
      <formula>1</formula>
    </cfRule>
  </conditionalFormatting>
  <conditionalFormatting sqref="H2:H6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6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6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E37" r:id="rId1" xr:uid="{D4A69BEA-62D8-42C0-B568-19D76BFCB06A}"/>
    <hyperlink ref="E38" r:id="rId2" xr:uid="{9A5E3536-350F-45A4-A72C-B30E55DAA580}"/>
    <hyperlink ref="E39" r:id="rId3" xr:uid="{41974CFC-7329-459C-A5AA-D0BD6A5BBE8D}"/>
    <hyperlink ref="E40" r:id="rId4" xr:uid="{061DF204-27FB-4F11-91FB-728E4ECA1B50}"/>
    <hyperlink ref="E25" r:id="rId5" xr:uid="{BB8972B8-8A0A-4E0B-BD0B-CEB6D2F009CB}"/>
    <hyperlink ref="E26" r:id="rId6" xr:uid="{15D100C1-F8D4-4327-A429-81D3B454FED1}"/>
    <hyperlink ref="E45" r:id="rId7" xr:uid="{C7A7A946-05FB-4F3E-A60C-2AA7F41F96AC}"/>
    <hyperlink ref="E46" r:id="rId8" xr:uid="{1AE6E05D-3026-4319-A5D5-5724ED1B856A}"/>
    <hyperlink ref="E47" r:id="rId9" xr:uid="{31E0B2B5-F29A-4EE6-A92D-F01EDCAB9E84}"/>
    <hyperlink ref="E48" r:id="rId10" xr:uid="{93216471-5A52-482A-B7FE-9024636B2316}"/>
    <hyperlink ref="E57" r:id="rId11" xr:uid="{1D9A866D-DE3F-4169-8CB3-AC9827326F45}"/>
    <hyperlink ref="E60" r:id="rId12" xr:uid="{E5CCD4CD-E77B-4ADA-BF47-A22086C2F20B}"/>
    <hyperlink ref="E61" r:id="rId13" xr:uid="{0318618C-A6D1-41D3-BC68-325C64DB7F23}"/>
    <hyperlink ref="E62" r:id="rId14" xr:uid="{C0DE0F82-3522-4DD2-B7BC-4934BB2A7F1F}"/>
  </hyperlinks>
  <pageMargins left="0.7" right="0.7" top="0.75" bottom="0.75" header="0.3" footer="0.3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carbon_scan_output_ecomm_2507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Besze Zsolt</dc:creator>
  <cp:lastModifiedBy>Besze Zsolt</cp:lastModifiedBy>
  <dcterms:created xsi:type="dcterms:W3CDTF">2026-03-11T21:51:05Z</dcterms:created>
  <dcterms:modified xsi:type="dcterms:W3CDTF">2026-03-11T21:51:47Z</dcterms:modified>
</cp:coreProperties>
</file>